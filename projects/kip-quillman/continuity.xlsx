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60b2679b68247fa" /></Relationships>
</file>

<file path=xl/workbook.xml><?xml version="1.0" encoding="utf-8"?>
<x:workbook xmlns:x="http://schemas.openxmlformats.org/spreadsheetml/2006/main">
  <x:sheets>
    <x:sheet xmlns:r="http://schemas.openxmlformats.org/officeDocument/2006/relationships" name="Planned state" sheetId="1" r:id="R014d8179a0f3475a"/>
    <x:sheet xmlns:r="http://schemas.openxmlformats.org/officeDocument/2006/relationships" name="Mana events" sheetId="2" r:id="Rdf07123fc7f543ed"/>
    <x:sheet xmlns:r="http://schemas.openxmlformats.org/officeDocument/2006/relationships" name="XP events" sheetId="3" r:id="Rd48f8fff7b9b48e7"/>
    <x:sheet xmlns:r="http://schemas.openxmlformats.org/officeDocument/2006/relationships" name="Story carryover" sheetId="4" r:id="Rdee0794d30d94512"/>
    <x:sheet xmlns:r="http://schemas.openxmlformats.org/officeDocument/2006/relationships" name="Confirmed state" sheetId="5" r:id="Rbfc6b032082f43ec"/>
    <x:sheet xmlns:r="http://schemas.openxmlformats.org/officeDocument/2006/relationships" name="Rules" sheetId="6" r:id="Rfbf6047475504fac"/>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
    <x:numFmt numFmtId="201" formatCode="#,##0&quot;  &quot;"/>
    <x:numFmt numFmtId="202" formatCode="yyyy-mm-dd"/>
    <x:numFmt numFmtId="203" formatCode="0.0%"/>
    <x:numFmt numFmtId="204" formatCode="0.0#######&quot;  &quot;"/>
    <x:numFmt numFmtId="205" formatCode="mm/dd/yy"/>
  </x:numFmts>
  <x:fonts count="7">
    <x:font>
      <x:sz val="11"/>
      <x:name val="Carlito"/>
    </x:font>
    <x:font>
      <x:sz val="10"/>
      <x:color rgb="FF28233C"/>
      <x:name val="Arial"/>
    </x:font>
    <x:font>
      <x:b/>
      <x:sz val="14"/>
      <x:color rgb="FF493D69"/>
      <x:name val="Arial"/>
    </x:font>
    <x:font>
      <x:i/>
      <x:sz val="10"/>
      <x:color rgb="FF625E70"/>
      <x:name val="Arial"/>
    </x:font>
    <x:font>
      <x:b/>
      <x:sz val="10"/>
      <x:color rgb="FFFFFFFF"/>
      <x:name val="Arial"/>
    </x:font>
    <x:font>
      <x:b/>
      <x:sz val="10"/>
      <x:color rgb="FF493D69"/>
      <x:name val="Arial"/>
    </x:font>
    <x:font>
      <x:sz val="10"/>
      <x:color rgb="FF493D69"/>
      <x:name val="Arial"/>
    </x:font>
  </x:fonts>
  <x:fills count="10">
    <x:fill>
      <x:patternFill patternType="none"/>
    </x:fill>
    <x:fill>
      <x:patternFill patternType="gray125"/>
    </x:fill>
    <x:fill>
      <x:patternFill patternType="solid">
        <x:fgColor rgb="FF493D69"/>
      </x:patternFill>
    </x:fill>
    <x:fill>
      <x:patternFill patternType="solid">
        <x:fgColor rgb="FFF8F6FA"/>
      </x:patternFill>
    </x:fill>
    <x:fill>
      <x:patternFill patternType="solid">
        <x:fgColor rgb="FFFFF2CC"/>
      </x:patternFill>
    </x:fill>
    <x:fill>
      <x:patternFill patternType="solid">
        <x:fgColor rgb="FFF2EFF7"/>
      </x:patternFill>
    </x:fill>
    <x:fill>
      <x:patternFill patternType="solid">
        <x:fgColor rgb="FFFFF9E8"/>
      </x:patternFill>
    </x:fill>
    <x:fill>
      <x:patternFill patternType="solid">
        <x:fgColor rgb="FFFFF9E8"/>
      </x:patternFill>
    </x:fill>
    <x:fill>
      <x:patternFill patternType="solid">
        <x:fgColor rgb="FFFFFFFF"/>
      </x:patternFill>
    </x:fill>
    <x:fill>
      <x:patternFill patternType="solid">
        <x:fgColor rgb="FFF8F6FA"/>
      </x:patternFill>
    </x:fill>
  </x:fills>
  <x:borders count="5">
    <x:border>
      <x:left/>
      <x:right/>
      <x:top/>
      <x:bottom/>
      <x:diagonal/>
    </x:border>
    <x:border>
      <x:left/>
      <x:right/>
      <x:top/>
      <x:bottom style="thin">
        <x:color rgb="FFD9D4E2"/>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s>
  <x:cellStyleXfs count="1">
    <x:xf numFmtId="0" fontId="0" fillId="0" borderId="0"/>
  </x:cellStyleXfs>
  <x:cellXfs count="8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2" xfId="0" applyNumberFormat="1" applyFont="1" applyFill="1" applyBorder="1" applyAlignment="1">
      <x:alignment vertical="center"/>
    </x:xf>
    <x:xf numFmtId="0" fontId="4" fillId="2" borderId="3" xfId="0" applyNumberFormat="1" applyFont="1" applyFill="1" applyBorder="1" applyAlignment="1">
      <x:alignment vertical="center"/>
    </x:xf>
    <x:xf numFmtId="0" fontId="4" fillId="2" borderId="4" xfId="0" applyNumberFormat="1" applyFont="1" applyFill="1" applyBorder="1" applyAlignment="1">
      <x:alignment vertical="center"/>
    </x:xf>
    <x:xf numFmtId="0" fontId="4" fillId="2" borderId="2" xfId="0" applyNumberFormat="1" applyFont="1" applyFill="1" applyBorder="1" applyAlignment="1">
      <x:alignment vertical="center" wrapText="1"/>
    </x:xf>
    <x:xf numFmtId="0" fontId="4" fillId="2" borderId="3" xfId="0" applyNumberFormat="1" applyFont="1" applyFill="1" applyBorder="1" applyAlignment="1">
      <x:alignment vertical="center" wrapText="1"/>
    </x:xf>
    <x:xf numFmtId="0" fontId="4" fillId="2" borderId="4" xfId="0" applyNumberFormat="1" applyFont="1" applyFill="1" applyBorder="1" applyAlignment="1">
      <x:alignment vertic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0" fontId="4" fillId="2" borderId="4" xfId="0" applyNumberFormat="1" applyFont="1" applyFill="1" applyBorder="1" applyAlignment="1">
      <x:alignment horizontal="center" vertical="center" wrapText="1"/>
    </x:xf>
    <x:xf numFmtId="0" fontId="1" fillId="3" borderId="0" xfId="0" applyNumberFormat="1" applyFont="1" applyFill="1" applyBorder="1" applyAlignment="1">
      <x:alignment vertical="center"/>
    </x:xf>
    <x:xf numFmtId="0" fontId="1" fillId="3" borderId="1"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1" fillId="3" borderId="1" xfId="0" applyNumberFormat="1" applyFont="1" applyFill="1" applyBorder="1" applyAlignment="1">
      <x:alignment vertical="center" wrapText="1"/>
    </x:xf>
    <x:xf numFmtId="0" fontId="1" fillId="4" borderId="0" xfId="0" applyNumberFormat="1" applyFont="1" applyFill="1" applyBorder="1" applyAlignment="1">
      <x:alignment vertical="center"/>
    </x:xf>
    <x:xf numFmtId="0" fontId="1" fillId="4" borderId="1" xfId="0" applyNumberFormat="1" applyFont="1" applyFill="1" applyBorder="1" applyAlignment="1">
      <x:alignment vertical="center"/>
    </x:xf>
    <x:xf numFmtId="200" fontId="1" fillId="4" borderId="0" xfId="0" applyNumberFormat="1" applyFont="1" applyFill="1" applyBorder="1" applyAlignment="1">
      <x:alignment vertical="center"/>
    </x:xf>
    <x:xf numFmtId="200" fontId="1" fillId="4" borderId="1" xfId="0" applyNumberFormat="1" applyFont="1" applyFill="1" applyBorder="1" applyAlignment="1">
      <x:alignment vertical="center"/>
    </x:xf>
    <x:xf numFmtId="200" fontId="1" fillId="4" borderId="0" xfId="0" applyNumberFormat="1" applyFont="1" applyFill="1" applyBorder="1" applyAlignment="1">
      <x:alignment horizontal="right" vertical="center"/>
    </x:xf>
    <x:xf numFmtId="200" fontId="1" fillId="4" borderId="1" xfId="0" applyNumberFormat="1" applyFont="1" applyFill="1" applyBorder="1" applyAlignment="1">
      <x:alignment horizontal="right" vertical="center"/>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center"/>
    </x:xf>
    <x:xf numFmtId="200" fontId="1" fillId="0" borderId="0" xfId="0" applyNumberFormat="1" applyFont="1" applyFill="1" applyBorder="1" applyAlignment="1">
      <x:alignment horizontal="right" vertical="center"/>
    </x:xf>
    <x:xf numFmtId="0" fontId="1" fillId="0" borderId="0" xfId="0" applyNumberFormat="1" applyFont="1" applyFill="1" applyBorder="1" applyAlignment="1">
      <x:alignment horizontal="center" vertical="center"/>
    </x:xf>
    <x:xf numFmtId="0" fontId="1" fillId="3" borderId="0" xfId="0" applyNumberFormat="1" applyFont="1" applyFill="1" applyBorder="1" applyAlignment="1">
      <x:alignment horizontal="center" vertical="center"/>
    </x:xf>
    <x:xf numFmtId="0" fontId="1" fillId="3" borderId="1" xfId="0" applyNumberFormat="1" applyFont="1" applyFill="1" applyBorder="1" applyAlignment="1">
      <x:alignment horizontal="center" vertical="center"/>
    </x:xf>
    <x:xf numFmtId="201" fontId="1" fillId="0" borderId="0" xfId="0" applyNumberFormat="1" applyFont="1" applyFill="1" applyBorder="1" applyAlignment="1">
      <x:alignment horizontal="right" vertical="center"/>
    </x:xf>
    <x:xf numFmtId="0" fontId="1" fillId="5" borderId="0" xfId="0" applyNumberFormat="1" applyFont="1" applyFill="1" applyBorder="1" applyAlignment="1">
      <x:alignment vertical="center"/>
    </x:xf>
    <x:xf numFmtId="0" fontId="5" fillId="5" borderId="0" xfId="0" applyNumberFormat="1" applyFont="1" applyFill="1" applyBorder="1" applyAlignment="1">
      <x:alignment vertical="center"/>
    </x:xf>
    <x:xf numFmtId="0" fontId="5" fillId="0" borderId="0" xfId="0" applyNumberFormat="1" applyFont="1" applyFill="1" applyBorder="1" applyAlignment="1">
      <x:alignment vertical="center"/>
    </x:xf>
    <x:xf numFmtId="202" fontId="1" fillId="0" borderId="0" xfId="0" applyNumberFormat="1" applyFont="1" applyFill="1" applyBorder="1" applyAlignment="1">
      <x:alignment vertical="center" wrapText="1"/>
    </x:xf>
    <x:xf numFmtId="200" fontId="1" fillId="3" borderId="0" xfId="0" applyNumberFormat="1" applyFont="1" applyFill="1" applyBorder="1" applyAlignment="1">
      <x:alignment vertical="center"/>
    </x:xf>
    <x:xf numFmtId="200" fontId="1" fillId="3" borderId="1" xfId="0" applyNumberFormat="1" applyFont="1" applyFill="1" applyBorder="1" applyAlignment="1">
      <x:alignment vertical="center"/>
    </x:xf>
    <x:xf numFmtId="200" fontId="1" fillId="3" borderId="0" xfId="0" applyNumberFormat="1" applyFont="1" applyFill="1" applyBorder="1" applyAlignment="1">
      <x:alignment horizontal="right" vertical="center"/>
    </x:xf>
    <x:xf numFmtId="200" fontId="1" fillId="3" borderId="1" xfId="0" applyNumberFormat="1" applyFont="1" applyFill="1" applyBorder="1" applyAlignment="1">
      <x:alignment horizontal="right" vertical="center"/>
    </x:xf>
    <x:xf numFmtId="203" fontId="1" fillId="0" borderId="0" xfId="0" applyNumberFormat="1" applyFont="1" applyFill="1" applyBorder="1" applyAlignment="1">
      <x:alignment vertical="center"/>
    </x:xf>
    <x:xf numFmtId="203" fontId="1" fillId="3" borderId="0" xfId="0" applyNumberFormat="1" applyFont="1" applyFill="1" applyBorder="1" applyAlignment="1">
      <x:alignment vertical="center"/>
    </x:xf>
    <x:xf numFmtId="203" fontId="1" fillId="3" borderId="1" xfId="0" applyNumberFormat="1" applyFont="1" applyFill="1" applyBorder="1" applyAlignment="1">
      <x:alignment vertical="center"/>
    </x:xf>
    <x:xf numFmtId="203" fontId="1" fillId="0" borderId="0" xfId="0" applyNumberFormat="1" applyFont="1" applyFill="1" applyBorder="1" applyAlignment="1">
      <x:alignment horizontal="right" vertical="center"/>
    </x:xf>
    <x:xf numFmtId="203" fontId="1" fillId="3" borderId="0" xfId="0" applyNumberFormat="1" applyFont="1" applyFill="1" applyBorder="1" applyAlignment="1">
      <x:alignment horizontal="right" vertical="center"/>
    </x:xf>
    <x:xf numFmtId="203" fontId="1" fillId="3" borderId="1" xfId="0" applyNumberFormat="1" applyFont="1" applyFill="1" applyBorder="1" applyAlignment="1">
      <x:alignment horizontal="right" vertical="center"/>
    </x:xf>
    <x:xf numFmtId="200" fontId="1" fillId="0" borderId="0" xfId="0" applyNumberFormat="1" applyFont="1" applyFill="1" applyBorder="1" applyAlignment="1">
      <x:alignment horizontal="center" vertical="center"/>
    </x:xf>
    <x:xf numFmtId="200" fontId="1" fillId="3" borderId="0" xfId="0" applyNumberFormat="1" applyFont="1" applyFill="1" applyBorder="1" applyAlignment="1">
      <x:alignment horizontal="center" vertical="center"/>
    </x:xf>
    <x:xf numFmtId="200" fontId="1" fillId="3" borderId="1" xfId="0" applyNumberFormat="1" applyFont="1" applyFill="1" applyBorder="1" applyAlignment="1">
      <x:alignment horizontal="center" vertical="center"/>
    </x:xf>
    <x:xf numFmtId="200" fontId="1" fillId="0" borderId="1" xfId="0" applyNumberFormat="1" applyFont="1" applyFill="1" applyBorder="1" applyAlignment="1">
      <x:alignment vertical="center"/>
    </x:xf>
    <x:xf numFmtId="200" fontId="1" fillId="0" borderId="1" xfId="0" applyNumberFormat="1" applyFont="1" applyFill="1" applyBorder="1" applyAlignment="1">
      <x:alignment horizontal="right" vertical="center"/>
    </x:xf>
    <x:xf numFmtId="200" fontId="1" fillId="0" borderId="1" xfId="0" applyNumberFormat="1" applyFont="1" applyFill="1" applyBorder="1" applyAlignment="1">
      <x:alignment horizontal="center" vertical="center"/>
    </x:xf>
    <x:xf numFmtId="0" fontId="1" fillId="0"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1" fillId="3"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0" fontId="1" fillId="3" borderId="0"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201" fontId="1" fillId="0" borderId="0" xfId="0" applyNumberFormat="1" applyFont="1" applyFill="1" applyBorder="1" applyAlignment="1">
      <x:alignment vertical="center" wrapText="1"/>
    </x:xf>
    <x:xf numFmtId="201" fontId="1" fillId="3" borderId="0" xfId="0" applyNumberFormat="1" applyFont="1" applyFill="1" applyBorder="1" applyAlignment="1">
      <x:alignment vertical="center" wrapText="1"/>
    </x:xf>
    <x:xf numFmtId="204" fontId="1" fillId="3" borderId="0" xfId="0" applyNumberFormat="1" applyFont="1" applyFill="1" applyBorder="1" applyAlignment="1">
      <x:alignment vertical="center" wrapText="1"/>
    </x:xf>
    <x:xf numFmtId="204" fontId="1" fillId="0" borderId="0" xfId="0" applyNumberFormat="1" applyFont="1" applyFill="1" applyBorder="1" applyAlignment="1">
      <x:alignment vertical="center" wrapText="1"/>
    </x:xf>
    <x:xf numFmtId="0" fontId="1" fillId="6" borderId="0" xfId="0" applyNumberFormat="1" applyFont="1" applyFill="1" applyBorder="1" applyAlignment="1">
      <x:alignment vertical="center"/>
    </x:xf>
    <x:xf numFmtId="0" fontId="1" fillId="6" borderId="0" xfId="0" applyNumberFormat="1" applyFont="1" applyFill="1" applyBorder="1" applyAlignment="1">
      <x:alignment vertical="center" wrapText="1"/>
    </x:xf>
    <x:xf numFmtId="0" fontId="1" fillId="6" borderId="1" xfId="0" applyNumberFormat="1" applyFont="1" applyFill="1" applyBorder="1" applyAlignment="1">
      <x:alignment vertical="center"/>
    </x:xf>
    <x:xf numFmtId="0" fontId="1" fillId="6" borderId="1" xfId="0" applyNumberFormat="1" applyFont="1" applyFill="1" applyBorder="1" applyAlignment="1">
      <x:alignment vertical="center" wrapText="1"/>
    </x:xf>
    <x:xf numFmtId="200" fontId="1" fillId="6" borderId="0" xfId="0" applyNumberFormat="1" applyFont="1" applyFill="1" applyBorder="1" applyAlignment="1">
      <x:alignment vertical="center"/>
    </x:xf>
    <x:xf numFmtId="200" fontId="1" fillId="6" borderId="1" xfId="0" applyNumberFormat="1" applyFont="1" applyFill="1" applyBorder="1" applyAlignment="1">
      <x:alignment vertical="center"/>
    </x:xf>
    <x:xf numFmtId="200" fontId="1" fillId="6" borderId="0" xfId="0" applyNumberFormat="1" applyFont="1" applyFill="1" applyBorder="1" applyAlignment="1">
      <x:alignment horizontal="right" vertical="center"/>
    </x:xf>
    <x:xf numFmtId="200" fontId="1" fillId="6" borderId="1" xfId="0" applyNumberFormat="1" applyFont="1" applyFill="1" applyBorder="1" applyAlignment="1">
      <x:alignment horizontal="right" vertical="center"/>
    </x:xf>
    <x:xf numFmtId="205" fontId="1" fillId="6" borderId="0" xfId="0" applyNumberFormat="1" applyFont="1" applyFill="1" applyBorder="1" applyAlignment="1">
      <x:alignment vertical="center"/>
    </x:xf>
    <x:xf numFmtId="205" fontId="1" fillId="6" borderId="1" xfId="0" applyNumberFormat="1" applyFont="1" applyFill="1" applyBorder="1" applyAlignment="1">
      <x:alignment vertical="center"/>
    </x:xf>
    <x:xf numFmtId="0" fontId="3" fillId="0" borderId="0" xfId="0" applyNumberFormat="1" applyFont="1" applyFill="1" applyBorder="1" applyAlignment="1">
      <x:alignment vertical="center" wrapText="1"/>
    </x:xf>
    <x:xf numFmtId="200" fontId="1" fillId="7" borderId="0" xfId="0" applyNumberFormat="1" applyFont="1" applyFill="1" applyBorder="1" applyAlignment="1">
      <x:alignment horizontal="right" vertical="center"/>
    </x:xf>
    <x:xf numFmtId="0" fontId="1" fillId="7" borderId="0" xfId="0" applyNumberFormat="1" applyFont="1" applyFill="1" applyBorder="1" applyAlignment="1">
      <x:alignment vertical="center"/>
    </x:xf>
    <x:xf numFmtId="0" fontId="1" fillId="7" borderId="0" xfId="0" applyNumberFormat="1" applyFont="1" applyFill="1" applyBorder="1" applyAlignment="1">
      <x:alignment vertical="center" wrapText="1"/>
    </x:xf>
    <x:xf numFmtId="205" fontId="1" fillId="7" borderId="0" xfId="0" applyNumberFormat="1" applyFont="1" applyFill="1" applyBorder="1" applyAlignment="1">
      <x:alignment vertical="center"/>
    </x:xf>
    <x:xf numFmtId="0" fontId="1" fillId="8" borderId="0" xfId="0" applyNumberFormat="1" applyFont="1" applyFill="1" applyBorder="1" applyAlignment="1">
      <x:alignment vertical="center"/>
    </x:xf>
    <x:xf numFmtId="0" fontId="1" fillId="8" borderId="0" xfId="0" applyNumberFormat="1" applyFont="1" applyFill="1" applyBorder="1" applyAlignment="1">
      <x:alignment vertical="center" wrapText="1"/>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vertical="center"/>
    </x:xf>
    <x:xf numFmtId="0" fontId="1" fillId="9" borderId="0" xfId="0" applyNumberFormat="1" applyFont="1" applyFill="1" applyBorder="1" applyAlignment="1">
      <x:alignment vertical="center" wrapText="1"/>
    </x:xf>
    <x:xf numFmtId="0" fontId="0" fillId="8" borderId="0" xfId="0" applyNumberFormat="1" applyFont="1" applyFill="1" applyBorder="1"/>
    <x:xf numFmtId="0" fontId="1" fillId="8" borderId="0" xfId="0" applyNumberFormat="1" applyFont="1" applyFill="1" applyBorder="1"/>
    <x:xf numFmtId="0" fontId="6" fillId="0" borderId="0" xfId="0" applyNumberFormat="1" applyFont="1" applyFill="1" applyBorder="1" applyAlignment="1">
      <x:alignment vertical="center"/>
    </x:xf>
    <x:xf numFmtId="0" fontId="6" fillId="0" borderId="0" xfId="0" applyNumberFormat="1" applyFont="1" applyFill="1" applyBorder="1" applyAlignment="1">
      <x:alignment vertical="center" wrapText="1"/>
    </x:xf>
  </x:cellXfs>
  <x:cellStyles count="1">
    <x:cellStyle name="Normal" xfId="0"/>
  </x:cellStyles>
  <x:dxfs count="7">
    <x:dxf>
      <x:font>
        <x:b/>
        <x:color rgb="FF9C2430"/>
      </x:font>
      <x:fill>
        <x:patternFill>
          <x:bgColor rgb="FFFCE9EC"/>
        </x:patternFill>
      </x:fill>
    </x:dxf>
    <x:dxf>
      <x:font>
        <x:b/>
        <x:color rgb="FF9C2430"/>
      </x:font>
      <x:fill>
        <x:patternFill>
          <x:bgColor rgb="FFFCE9EC"/>
        </x:patternFill>
      </x:fill>
    </x:dxf>
    <x:dxf>
      <x:font>
        <x:b/>
        <x:color rgb="FF9C2430"/>
      </x:font>
      <x:fill>
        <x:patternFill>
          <x:bgColor rgb="FFFCE9EC"/>
        </x:patternFill>
      </x:fill>
    </x:dxf>
    <x:dxf>
      <x:font>
        <x:b/>
        <x:color rgb="FF9C2430"/>
      </x:font>
      <x:fill>
        <x:patternFill>
          <x:bgColor rgb="FFFCE9EC"/>
        </x:patternFill>
      </x:fill>
    </x:dxf>
    <x:dxf>
      <x:font>
        <x:color rgb="FF7A5600"/>
      </x:font>
      <x:fill>
        <x:patternFill>
          <x:bgColor rgb="FFFFF2CC"/>
        </x:patternFill>
      </x:fill>
    </x:dxf>
    <x:dxf>
      <x:font>
        <x:b/>
        <x:color rgb="FF9C2430"/>
      </x:font>
      <x:fill>
        <x:patternFill>
          <x:bgColor rgb="FFFCE9EC"/>
        </x:patternFill>
      </x:fill>
    </x:dxf>
    <x:dxf>
      <x:font>
        <x:b/>
        <x:color rgb="FF9C2430"/>
      </x:font>
      <x:fill>
        <x:patternFill patternType="solid">
          <x:bgColor rgb="FFFCE9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98bf6a6c447408f" /><Relationship Type="http://schemas.openxmlformats.org/officeDocument/2006/relationships/theme" Target="/xl/theme/theme1.xml" Id="Rc3a6a0cdd5f34707" /><Relationship Type="http://schemas.microsoft.com/office/2022/11/relationships/FeaturePropertyBag" Target="/xl/featurePropertyBag/featurePropertyBag.xml" Id="Rbba652d7a4314d52" /><Relationship Type="http://schemas.openxmlformats.org/officeDocument/2006/relationships/sharedStrings" Target="/xl/sharedStrings.xml" Id="R30bd5bf1f1624de4" /><Relationship Type="http://schemas.openxmlformats.org/officeDocument/2006/relationships/worksheet" Target="/xl/worksheets/sheet1.xml" Id="R014d8179a0f3475a" /><Relationship Type="http://schemas.openxmlformats.org/officeDocument/2006/relationships/worksheet" Target="/xl/worksheets/sheet2.xml" Id="Rdf07123fc7f543ed" /><Relationship Type="http://schemas.openxmlformats.org/officeDocument/2006/relationships/worksheet" Target="/xl/worksheets/sheet3.xml" Id="Rd48f8fff7b9b48e7" /><Relationship Type="http://schemas.openxmlformats.org/officeDocument/2006/relationships/worksheet" Target="/xl/worksheets/sheet4.xml" Id="Rdee0794d30d94512" /><Relationship Type="http://schemas.openxmlformats.org/officeDocument/2006/relationships/worksheet" Target="/xl/worksheets/sheet5.xml" Id="Rbfc6b032082f43ec" /><Relationship Type="http://schemas.openxmlformats.org/officeDocument/2006/relationships/worksheet" Target="/xl/worksheets/sheet6.xml" Id="Rfbf6047475504fa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2" name="PlannedChapterState" displayName="PlannedChapterState" ref="A7:T87" headerRowCount="1" totalsRowCount="0" totalsRowShown="0">
  <x:tableColumns count="20">
    <x:tableColumn id="1" name="Ch"/>
    <x:tableColumn id="2" name="Person"/>
    <x:tableColumn id="3" name="Chapter"/>
    <x:tableColumn id="4" name="Starts"/>
    <x:tableColumn id="5" name="Ends"/>
    <x:tableColumn id="6" name="Level in"/>
    <x:tableColumn id="7" name="Level out"/>
    <x:tableColumn id="8" name="XP bar in"/>
    <x:tableColumn id="9" name="XP bar out"/>
    <x:tableColumn id="10" name="XP next"/>
    <x:tableColumn id="11" name="XP bar %"/>
    <x:tableColumn id="12" name="Mana in"/>
    <x:tableColumn id="13" name="Mana out"/>
    <x:tableColumn id="14" name="Max Mana out"/>
    <x:tableColumn id="15" name="Mana %"/>
    <x:tableColumn id="16" name="Rooms after"/>
    <x:tableColumn id="17" name="Override min"/>
    <x:tableColumn id="18" name="Claim min"/>
    <x:tableColumn id="19" name="Ward min"/>
    <x:tableColumn id="20" name="Party size"/>
  </x:tableColumns>
  <x:tableStyleInfo name="TableStyleLight1" showFirstColumn="0" showLastColumn="0" showRowStripes="1" showColumnStripes="0"/>
</x:table>
</file>

<file path=xl/tables/table2.xml><?xml version="1.0" encoding="utf-8"?>
<x:table xmlns:x="http://schemas.openxmlformats.org/spreadsheetml/2006/main" id="4" name="PlannedManaEvents" displayName="PlannedManaEvents" ref="A7:Q180" headerRowCount="1" totalsRowCount="0" totalsRowShown="0">
  <x:tableColumns count="17">
    <x:tableColumn id="1" name="Event ID"/>
    <x:tableColumn id="2" name="Ch"/>
    <x:tableColumn id="3" name="Person"/>
    <x:tableColumn id="4" name="Starts"/>
    <x:tableColumn id="5" name="Kind"/>
    <x:tableColumn id="6" name="Ability"/>
    <x:tableColumn id="7" name="Before recorded"/>
    <x:tableColumn id="8" name="Before calc"/>
    <x:tableColumn id="9" name="Before difference"/>
    <x:tableColumn id="10" name="Mana spent"/>
    <x:tableColumn id="11" name="Rest minutes"/>
    <x:tableColumn id="12" name="Recovery"/>
    <x:tableColumn id="13" name="Mana cap"/>
    <x:tableColumn id="14" name="After calc"/>
    <x:tableColumn id="15" name="After recorded"/>
    <x:tableColumn id="16" name="After difference"/>
    <x:tableColumn id="17" name="Cost difference"/>
  </x:tableColumns>
  <x:tableStyleInfo name="TableStyleLight1" showFirstColumn="0" showLastColumn="0" showRowStripes="1" showColumnStripes="0"/>
</x:table>
</file>

<file path=xl/tables/table3.xml><?xml version="1.0" encoding="utf-8"?>
<x:table xmlns:x="http://schemas.openxmlformats.org/spreadsheetml/2006/main" id="3" name="PlannedXPEvents" displayName="PlannedXPEvents" ref="A7:S67" headerRowCount="1" totalsRowCount="0" totalsRowShown="0">
  <x:tableColumns count="19">
    <x:tableColumn id="1" name="Event ID"/>
    <x:tableColumn id="2" name="Ch"/>
    <x:tableColumn id="3" name="Person"/>
    <x:tableColumn id="4" name="Clock"/>
    <x:tableColumn id="5" name="Level before"/>
    <x:tableColumn id="6" name="XP before"/>
    <x:tableColumn id="7" name="Award"/>
    <x:tableColumn id="8" name="Total XP before"/>
    <x:tableColumn id="9" name="Total XP after"/>
    <x:tableColumn id="10" name="Level after"/>
    <x:tableColumn id="11" name="XP after"/>
    <x:tableColumn id="12" name="Next threshold"/>
    <x:tableColumn id="13" name="Levels gained"/>
    <x:tableColumn id="14" name="Max Mana after"/>
    <x:tableColumn id="15" name="Recorded level"/>
    <x:tableColumn id="16" name="Recorded XP"/>
    <x:tableColumn id="17" name="Level difference"/>
    <x:tableColumn id="18" name="XP difference"/>
    <x:tableColumn id="19" name="Material contribution"/>
  </x:tableColumns>
  <x:tableStyleInfo name="TableStyleLight1" showFirstColumn="0" showLastColumn="0" showRowStripes="1" showColumnStripes="0"/>
</x:table>
</file>

<file path=xl/tables/table4.xml><?xml version="1.0" encoding="utf-8"?>
<x:table xmlns:x="http://schemas.openxmlformats.org/spreadsheetml/2006/main" id="5" name="StoryCarryover" displayName="StoryCarryover" ref="A7:F1579" headerRowCount="1" totalsRowCount="0" totalsRowShown="0">
  <x:tableColumns count="6">
    <x:tableColumn id="1" name="Record ID"/>
    <x:tableColumn id="2" name="Ch"/>
    <x:tableColumn id="3" name="Topic"/>
    <x:tableColumn id="4" name="Subject"/>
    <x:tableColumn id="5" name="Continuity fact"/>
    <x:tableColumn id="6" name="Status"/>
  </x:tableColumns>
  <x:tableStyleInfo name="TableStyleLight1" showFirstColumn="0" showLastColumn="0" showRowStripes="1" showColumnStripes="0"/>
</x:table>
</file>

<file path=xl/tables/table5.xml><?xml version="1.0" encoding="utf-8"?>
<x:table xmlns:x="http://schemas.openxmlformats.org/spreadsheetml/2006/main" id="6" name="ConfirmedStateTemplate" displayName="ConfirmedStateTemplate" ref="A7:N27" headerRowCount="1" totalsRowCount="0" totalsRowShown="0">
  <x:tableColumns count="14">
    <x:tableColumn id="1" name="Ch"/>
    <x:tableColumn id="2" name="Person"/>
    <x:tableColumn id="3" name="Level"/>
    <x:tableColumn id="4" name="Mana current"/>
    <x:tableColumn id="5" name="Mana maximum"/>
    <x:tableColumn id="6" name="XP in bar"/>
    <x:tableColumn id="7" name="XP next"/>
    <x:tableColumn id="8" name="Owned rooms"/>
    <x:tableColumn id="9" name="Injuries"/>
    <x:tableColumn id="10" name="Knowledge"/>
    <x:tableColumn id="11" name="Object custody"/>
    <x:tableColumn id="12" name="Final-text evidence"/>
    <x:tableColumn id="13" name="Review status"/>
    <x:tableColumn id="14" name="Reviewed date"/>
  </x:tableColumns>
  <x:tableStyleInfo name="TableStyleLight1" showFirstColumn="0" showLastColumn="0" showRowStripes="1" showColumnStripes="0"/>
</x:table>
</file>

<file path=xl/tables/table6.xml><?xml version="1.0" encoding="utf-8"?>
<x:table xmlns:x="http://schemas.openxmlformats.org/spreadsheetml/2006/main" id="1" name="NumericRules" displayName="NumericRules" ref="A7:D15" headerRowCount="1" totalsRowCount="0" totalsRowShown="0">
  <x:tableColumns count="4">
    <x:tableColumn id="1" name="Driver"/>
    <x:tableColumn id="2" name="Value"/>
    <x:tableColumn id="3" name="Unit"/>
    <x:tableColumn id="4" name="Meaning"/>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15c3f4f2d924786" /></Relationships>
</file>

<file path=xl/worksheets/_rels/sheet2.xml.rels>&#65279;<?xml version="1.0" encoding="utf-8"?><Relationships xmlns="http://schemas.openxmlformats.org/package/2006/relationships"><Relationship Type="http://schemas.openxmlformats.org/officeDocument/2006/relationships/table" Target="/xl/tables/table2.xml" Id="R589928004a684c3a" /></Relationships>
</file>

<file path=xl/worksheets/_rels/sheet3.xml.rels>&#65279;<?xml version="1.0" encoding="utf-8"?><Relationships xmlns="http://schemas.openxmlformats.org/package/2006/relationships"><Relationship Type="http://schemas.openxmlformats.org/officeDocument/2006/relationships/table" Target="/xl/tables/table3.xml" Id="R6772d95ed54b4170" /></Relationships>
</file>

<file path=xl/worksheets/_rels/sheet4.xml.rels>&#65279;<?xml version="1.0" encoding="utf-8"?><Relationships xmlns="http://schemas.openxmlformats.org/package/2006/relationships"><Relationship Type="http://schemas.openxmlformats.org/officeDocument/2006/relationships/table" Target="/xl/tables/table4.xml" Id="Rc8ecf394ac354926" /></Relationships>
</file>

<file path=xl/worksheets/_rels/sheet5.xml.rels>&#65279;<?xml version="1.0" encoding="utf-8"?><Relationships xmlns="http://schemas.openxmlformats.org/package/2006/relationships"><Relationship Type="http://schemas.openxmlformats.org/officeDocument/2006/relationships/table" Target="/xl/tables/table5.xml" Id="Reacb95c8c24a43df" /></Relationships>
</file>

<file path=xl/worksheets/_rels/sheet6.xml.rels>&#65279;<?xml version="1.0" encoding="utf-8"?><Relationships xmlns="http://schemas.openxmlformats.org/package/2006/relationships"><Relationship Type="http://schemas.openxmlformats.org/officeDocument/2006/relationships/table" Target="/xl/tables/table6.xml" Id="Rdc5e9584ed554c91" /></Relationships>
</file>

<file path=xl/worksheets/sheet1.xml><?xml version="1.0" encoding="utf-8"?>
<x:worksheet xmlns:x="http://schemas.openxmlformats.org/spreadsheetml/2006/main">
  <x:sheetPr>
    <x:tabColor rgb="FF493D69"/>
  </x:sheetPr>
  <x:sheetViews>
    <x:sheetView showGridLines="0" workbookViewId="0">
      <x:pane xSplit="3" ySplit="7" topLeftCell="D8" activePane="bottomRight" state="frozen"/>
    </x:sheetView>
  </x:sheetViews>
  <x:sheetFormatPr defaultRowHeight="15"/>
  <x:cols>
    <x:col min="1" max="1" width="6" hidden="0" customWidth="1"/>
    <x:col min="2" max="2" width="12" hidden="0" customWidth="1"/>
    <x:col min="3" max="3" width="31" hidden="0" customWidth="1"/>
    <x:col min="4" max="4" width="24" hidden="0" customWidth="1"/>
    <x:col min="5" max="5" width="24" hidden="0" customWidth="1"/>
    <x:col min="6" max="6" width="10" hidden="0" customWidth="1"/>
    <x:col min="7" max="7" width="10"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4" hidden="0" customWidth="1"/>
    <x:col min="15" max="15" width="12" hidden="0" customWidth="1"/>
    <x:col min="16" max="16" width="16" hidden="0" customWidth="1"/>
    <x:col min="17" max="17" width="14" hidden="0" customWidth="1"/>
    <x:col min="18" max="18" width="14" hidden="0" customWidth="1"/>
    <x:col min="19" max="19" width="14" hidden="0" customWidth="1"/>
    <x:col min="20" max="20" width="11" hidden="0" customWidth="1"/>
  </x:cols>
  <x:sheetData>
    <x:row r="1" ht="10" customHeight="1">
      <x:c r="A1" s="2"/>
      <x:c r="B1" s="2"/>
      <x:c r="C1" s="2"/>
      <x:c r="D1" s="2"/>
      <x:c r="E1" s="2"/>
      <x:c r="F1" s="2"/>
      <x:c r="G1" s="2"/>
      <x:c r="H1" s="2"/>
      <x:c r="I1" s="2"/>
      <x:c r="J1" s="2"/>
      <x:c r="K1" s="2"/>
      <x:c r="L1" s="2"/>
      <x:c r="M1" s="2"/>
      <x:c r="N1" s="2"/>
      <x:c r="O1" s="2"/>
      <x:c r="P1" s="2"/>
      <x:c r="Q1" s="2"/>
      <x:c r="R1" s="2"/>
      <x:c r="S1" s="2"/>
      <x:c r="T1" s="2"/>
    </x:row>
    <x:row r="2" ht="22" customHeight="1">
      <x:c r="A2" s="3" t="str">
        <x:v>Kip Quillman continuity</x:v>
      </x:c>
      <x:c r="B2" s="2"/>
      <x:c r="C2" s="2"/>
      <x:c r="D2" s="2"/>
      <x:c r="E2" s="2"/>
      <x:c r="F2" s="2"/>
      <x:c r="G2" s="2"/>
      <x:c r="H2" s="2"/>
      <x:c r="I2" s="2"/>
      <x:c r="J2" s="2"/>
      <x:c r="K2" s="2"/>
      <x:c r="L2" s="2"/>
      <x:c r="M2" s="2"/>
      <x:c r="N2" s="2"/>
      <x:c r="O2" s="2"/>
      <x:c r="P2" s="2"/>
      <x:c r="Q2" s="2"/>
      <x:c r="R2" s="2"/>
      <x:c r="S2" s="2"/>
      <x:c r="T2" s="2"/>
    </x:row>
    <x:row r="3" ht="22" customHeight="1">
      <x:c r="A3" s="4"/>
      <x:c r="B3" s="4"/>
      <x:c r="C3" s="4"/>
      <x:c r="D3" s="4"/>
      <x:c r="E3" s="4"/>
      <x:c r="F3" s="4"/>
      <x:c r="G3" s="4"/>
      <x:c r="H3" s="4"/>
      <x:c r="I3" s="4"/>
      <x:c r="J3" s="4"/>
      <x:c r="K3" s="4"/>
      <x:c r="L3" s="4"/>
      <x:c r="M3" s="4"/>
      <x:c r="N3" s="4"/>
      <x:c r="O3" s="4"/>
      <x:c r="P3" s="4"/>
      <x:c r="Q3" s="4"/>
      <x:c r="R3" s="4"/>
      <x:c r="S3" s="4"/>
      <x:c r="T3" s="4"/>
    </x:row>
    <x:row r="4" ht="22" customHeight="1">
      <x:c r="A4" s="2" t="str">
        <x:v>Author plan. Latest confirmed Episode 1; next Episode 2. See Confirmed state.</x:v>
      </x:c>
      <x:c r="B4" s="2"/>
      <x:c r="C4" s="2"/>
      <x:c r="D4" s="2"/>
      <x:c r="E4" s="2"/>
      <x:c r="F4" s="2"/>
      <x:c r="G4" s="2"/>
      <x:c r="H4" s="2"/>
      <x:c r="I4" s="2"/>
      <x:c r="J4" s="2"/>
      <x:c r="K4" s="2"/>
      <x:c r="L4" s="2"/>
      <x:c r="M4" s="2"/>
      <x:c r="N4" s="2"/>
      <x:c r="O4" s="2"/>
      <x:c r="P4" s="2"/>
      <x:c r="Q4" s="2"/>
      <x:c r="R4" s="2"/>
      <x:c r="S4" s="2"/>
      <x:c r="T4" s="2"/>
    </x:row>
    <x:row r="5" ht="22" customHeight="1">
      <x:c r="A5" s="5" t="str">
        <x:v>Chapter exits are planned values. See Story carryover for injuries, custody, knowledge limits, and drafting duties.</x:v>
      </x:c>
      <x:c r="B5" s="2"/>
      <x:c r="C5" s="2"/>
      <x:c r="D5" s="2"/>
      <x:c r="E5" s="2"/>
      <x:c r="F5" s="2"/>
      <x:c r="G5" s="2"/>
      <x:c r="H5" s="2"/>
      <x:c r="I5" s="2"/>
      <x:c r="J5" s="2"/>
      <x:c r="K5" s="2"/>
      <x:c r="L5" s="2"/>
      <x:c r="M5" s="2"/>
      <x:c r="N5" s="2"/>
      <x:c r="O5" s="2"/>
      <x:c r="P5" s="2"/>
      <x:c r="Q5" s="2"/>
      <x:c r="R5" s="2"/>
      <x:c r="S5" s="2"/>
      <x:c r="T5" s="2"/>
    </x:row>
    <x:row r="6" ht="22" customHeight="1">
      <x:c r="A6" s="2"/>
      <x:c r="B6" s="2"/>
      <x:c r="C6" s="2"/>
      <x:c r="D6" s="2"/>
      <x:c r="E6" s="2"/>
      <x:c r="F6" s="2"/>
      <x:c r="G6" s="2"/>
      <x:c r="H6" s="2"/>
      <x:c r="I6" s="2"/>
      <x:c r="J6" s="2"/>
      <x:c r="K6" s="2"/>
      <x:c r="L6" s="2"/>
      <x:c r="M6" s="2"/>
      <x:c r="N6" s="2"/>
      <x:c r="O6" s="2"/>
      <x:c r="P6" s="2"/>
      <x:c r="Q6" s="2"/>
      <x:c r="R6" s="2"/>
      <x:c r="S6" s="2"/>
      <x:c r="T6" s="2"/>
    </x:row>
    <x:row r="7" ht="34" customHeight="1">
      <x:c r="A7" s="14" t="str">
        <x:v>Ch</x:v>
      </x:c>
      <x:c r="B7" s="15" t="str">
        <x:v>Person</x:v>
      </x:c>
      <x:c r="C7" s="15" t="str">
        <x:v>Chapter</x:v>
      </x:c>
      <x:c r="D7" s="15" t="str">
        <x:v>Starts</x:v>
      </x:c>
      <x:c r="E7" s="15" t="str">
        <x:v>Ends</x:v>
      </x:c>
      <x:c r="F7" s="15" t="str">
        <x:v>Level in</x:v>
      </x:c>
      <x:c r="G7" s="15" t="str">
        <x:v>Level out</x:v>
      </x:c>
      <x:c r="H7" s="15" t="str">
        <x:v>XP bar in</x:v>
      </x:c>
      <x:c r="I7" s="15" t="str">
        <x:v>XP bar out</x:v>
      </x:c>
      <x:c r="J7" s="15" t="str">
        <x:v>XP next</x:v>
      </x:c>
      <x:c r="K7" s="15" t="str">
        <x:v>XP bar %</x:v>
      </x:c>
      <x:c r="L7" s="15" t="str">
        <x:v>Mana in</x:v>
      </x:c>
      <x:c r="M7" s="15" t="str">
        <x:v>Mana out</x:v>
      </x:c>
      <x:c r="N7" s="15" t="str">
        <x:v>Max Mana out</x:v>
      </x:c>
      <x:c r="O7" s="15" t="str">
        <x:v>Mana %</x:v>
      </x:c>
      <x:c r="P7" s="15" t="str">
        <x:v>Rooms after</x:v>
      </x:c>
      <x:c r="Q7" s="15" t="str">
        <x:v>Override min</x:v>
      </x:c>
      <x:c r="R7" s="15" t="str">
        <x:v>Claim min</x:v>
      </x:c>
      <x:c r="S7" s="15" t="str">
        <x:v>Ward min</x:v>
      </x:c>
      <x:c r="T7" s="16" t="str">
        <x:v>Party size</x:v>
      </x:c>
    </x:row>
    <x:row r="8" ht="22" customHeight="1">
      <x:c r="A8" s="50" t="n">
        <x:v>1</x:v>
      </x:c>
      <x:c r="B8" s="2" t="str">
        <x:v>Kip</x:v>
      </x:c>
      <x:c r="C8" s="2" t="str">
        <x:v>The Wrong Side of the Door</x:v>
      </x:c>
      <x:c r="D8" s="2" t="str">
        <x:v>Day 1 08:00:00</x:v>
      </x:c>
      <x:c r="E8" s="2" t="str">
        <x:v>Day 1 08:06:00</x:v>
      </x:c>
      <x:c r="F8" s="31" t="n">
        <x:v>1</x:v>
      </x:c>
      <x:c r="G8" s="31" t="n">
        <x:v>2</x:v>
      </x:c>
      <x:c r="H8" s="31" t="n">
        <x:v>0</x:v>
      </x:c>
      <x:c r="I8" s="31" t="n">
        <x:v>0</x:v>
      </x:c>
      <x:c r="J8" s="31" t="n">
        <x:v>200</x:v>
      </x:c>
      <x:c r="K8" s="47" t="n">
        <x:f>IF(J8="","",I8/J8)</x:f>
        <x:v>0</x:v>
      </x:c>
      <x:c r="L8" s="31" t="n">
        <x:v>40</x:v>
      </x:c>
      <x:c r="M8" s="31" t="n">
        <x:v>20</x:v>
      </x:c>
      <x:c r="N8" s="31" t="n">
        <x:v>45</x:v>
      </x:c>
      <x:c r="O8" s="47" t="n">
        <x:f>IF(N8="","",M8/N8)</x:f>
        <x:v>0.4444444444444444</x:v>
      </x:c>
      <x:c r="P8" s="2" t="str">
        <x:v>None</x:v>
      </x:c>
      <x:c r="Q8" s="31" t="n">
        <x:v>0</x:v>
      </x:c>
      <x:c r="R8" s="31" t="n">
        <x:v>0</x:v>
      </x:c>
      <x:c r="S8" s="31" t="n">
        <x:v>0</x:v>
      </x:c>
      <x:c r="T8" s="31" t="n">
        <x:v>5</x:v>
      </x:c>
    </x:row>
    <x:row r="9" ht="22" customHeight="1">
      <x:c r="A9" s="51" t="n">
        <x:v>1</x:v>
      </x:c>
      <x:c r="B9" s="17" t="str">
        <x:v>Tessa</x:v>
      </x:c>
      <x:c r="C9" s="17" t="str">
        <x:v>The Wrong Side of the Door</x:v>
      </x:c>
      <x:c r="D9" s="17" t="str">
        <x:v>Day 1 08:00:00</x:v>
      </x:c>
      <x:c r="E9" s="17" t="str">
        <x:v>Day 1 08:06:00</x:v>
      </x:c>
      <x:c r="F9" s="42" t="n">
        <x:v>5</x:v>
      </x:c>
      <x:c r="G9" s="42" t="n">
        <x:v>5</x:v>
      </x:c>
      <x:c r="H9" s="42" t="n">
        <x:v>0</x:v>
      </x:c>
      <x:c r="I9" s="42" t="n">
        <x:v>100</x:v>
      </x:c>
      <x:c r="J9" s="42" t="n">
        <x:v>500</x:v>
      </x:c>
      <x:c r="K9" s="48" t="n">
        <x:f>IF(J9="","",I9/J9)</x:f>
        <x:v>0.2</x:v>
      </x:c>
      <x:c r="L9" s="42" t="n">
        <x:v>35</x:v>
      </x:c>
      <x:c r="M9" s="42" t="n">
        <x:v>25</x:v>
      </x:c>
      <x:c r="N9" s="42" t="n">
        <x:v>60</x:v>
      </x:c>
      <x:c r="O9" s="48" t="n">
        <x:f>IF(N9="","",M9/N9)</x:f>
        <x:v>0.4166666666666667</x:v>
      </x:c>
      <x:c r="P9" s="17" t="str">
        <x:v>None</x:v>
      </x:c>
      <x:c r="Q9" s="42"/>
      <x:c r="R9" s="42"/>
      <x:c r="S9" s="42"/>
      <x:c r="T9" s="42" t="n">
        <x:v>5</x:v>
      </x:c>
    </x:row>
    <x:row r="10" ht="22" customHeight="1">
      <x:c r="A10" s="50" t="n">
        <x:v>1</x:v>
      </x:c>
      <x:c r="B10" s="2" t="str">
        <x:v>Owen</x:v>
      </x:c>
      <x:c r="C10" s="2" t="str">
        <x:v>The Wrong Side of the Door</x:v>
      </x:c>
      <x:c r="D10" s="2" t="str">
        <x:v>Day 1 08:00:00</x:v>
      </x:c>
      <x:c r="E10" s="2" t="str">
        <x:v>Day 1 08:06:00</x:v>
      </x:c>
      <x:c r="F10" s="31" t="n">
        <x:v>9</x:v>
      </x:c>
      <x:c r="G10" s="31" t="n">
        <x:v>9</x:v>
      </x:c>
      <x:c r="H10" s="31" t="n">
        <x:v>0</x:v>
      </x:c>
      <x:c r="I10" s="31" t="n">
        <x:v>100</x:v>
      </x:c>
      <x:c r="J10" s="31" t="n">
        <x:v>900</x:v>
      </x:c>
      <x:c r="K10" s="47" t="n">
        <x:f>IF(J10="","",I10/J10)</x:f>
        <x:v>0.1111111111111111</x:v>
      </x:c>
      <x:c r="L10" s="31" t="n">
        <x:v>50</x:v>
      </x:c>
      <x:c r="M10" s="31" t="n">
        <x:v>30</x:v>
      </x:c>
      <x:c r="N10" s="31" t="n">
        <x:v>80</x:v>
      </x:c>
      <x:c r="O10" s="47" t="n">
        <x:f>IF(N10="","",M10/N10)</x:f>
        <x:v>0.375</x:v>
      </x:c>
      <x:c r="P10" s="2" t="str">
        <x:v>None</x:v>
      </x:c>
      <x:c r="Q10" s="31"/>
      <x:c r="R10" s="31"/>
      <x:c r="S10" s="31"/>
      <x:c r="T10" s="31" t="n">
        <x:v>5</x:v>
      </x:c>
    </x:row>
    <x:row r="11" ht="22" customHeight="1">
      <x:c r="A11" s="51" t="n">
        <x:v>1</x:v>
      </x:c>
      <x:c r="B11" s="17" t="str">
        <x:v>Dane</x:v>
      </x:c>
      <x:c r="C11" s="17" t="str">
        <x:v>The Wrong Side of the Door</x:v>
      </x:c>
      <x:c r="D11" s="17" t="str">
        <x:v>Day 1 08:00:00</x:v>
      </x:c>
      <x:c r="E11" s="17" t="str">
        <x:v>Day 1 08:06:00</x:v>
      </x:c>
      <x:c r="F11" s="42" t="n">
        <x:v>9</x:v>
      </x:c>
      <x:c r="G11" s="42" t="n">
        <x:v>9</x:v>
      </x:c>
      <x:c r="H11" s="42" t="n">
        <x:v>0</x:v>
      </x:c>
      <x:c r="I11" s="42" t="n">
        <x:v>100</x:v>
      </x:c>
      <x:c r="J11" s="42" t="n">
        <x:v>900</x:v>
      </x:c>
      <x:c r="K11" s="48" t="n">
        <x:f>IF(J11="","",I11/J11)</x:f>
        <x:v>0.1111111111111111</x:v>
      </x:c>
      <x:c r="L11" s="42" t="n">
        <x:v>45</x:v>
      </x:c>
      <x:c r="M11" s="42" t="n">
        <x:v>25</x:v>
      </x:c>
      <x:c r="N11" s="42" t="n">
        <x:v>80</x:v>
      </x:c>
      <x:c r="O11" s="48" t="n">
        <x:f>IF(N11="","",M11/N11)</x:f>
        <x:v>0.3125</x:v>
      </x:c>
      <x:c r="P11" s="17" t="str">
        <x:v>None</x:v>
      </x:c>
      <x:c r="Q11" s="42"/>
      <x:c r="R11" s="42"/>
      <x:c r="S11" s="42"/>
      <x:c r="T11" s="42" t="n">
        <x:v>5</x:v>
      </x:c>
    </x:row>
    <x:row r="12" ht="22" customHeight="1">
      <x:c r="A12" s="50" t="n">
        <x:v>2</x:v>
      </x:c>
      <x:c r="B12" s="2" t="str">
        <x:v>Kip</x:v>
      </x:c>
      <x:c r="C12" s="2" t="str">
        <x:v>A Room of Their Own</x:v>
      </x:c>
      <x:c r="D12" s="2" t="str">
        <x:v>Day 1 08:06:00</x:v>
      </x:c>
      <x:c r="E12" s="2" t="str">
        <x:v>Day 1 09:00:00</x:v>
      </x:c>
      <x:c r="F12" s="31" t="n">
        <x:v>2</x:v>
      </x:c>
      <x:c r="G12" s="31" t="n">
        <x:v>2</x:v>
      </x:c>
      <x:c r="H12" s="31" t="n">
        <x:v>0</x:v>
      </x:c>
      <x:c r="I12" s="31" t="n">
        <x:v>0</x:v>
      </x:c>
      <x:c r="J12" s="31" t="n">
        <x:v>200</x:v>
      </x:c>
      <x:c r="K12" s="47" t="n">
        <x:f>IF(J12="","",I12/J12)</x:f>
        <x:v>0</x:v>
      </x:c>
      <x:c r="L12" s="31" t="n">
        <x:v>20</x:v>
      </x:c>
      <x:c r="M12" s="31" t="n">
        <x:v>45</x:v>
      </x:c>
      <x:c r="N12" s="31" t="n">
        <x:v>45</x:v>
      </x:c>
      <x:c r="O12" s="47" t="n">
        <x:f>IF(N12="","",M12/N12)</x:f>
        <x:v>1</x:v>
      </x:c>
      <x:c r="P12" s="2" t="str">
        <x:v>A</x:v>
      </x:c>
      <x:c r="Q12" s="31" t="n">
        <x:v>0</x:v>
      </x:c>
      <x:c r="R12" s="31" t="n">
        <x:v>0</x:v>
      </x:c>
      <x:c r="S12" s="31" t="n">
        <x:v>0</x:v>
      </x:c>
      <x:c r="T12" s="31" t="n">
        <x:v>5</x:v>
      </x:c>
    </x:row>
    <x:row r="13" ht="22" customHeight="1">
      <x:c r="A13" s="51" t="n">
        <x:v>2</x:v>
      </x:c>
      <x:c r="B13" s="17" t="str">
        <x:v>Tessa</x:v>
      </x:c>
      <x:c r="C13" s="17" t="str">
        <x:v>A Room of Their Own</x:v>
      </x:c>
      <x:c r="D13" s="17" t="str">
        <x:v>Day 1 08:06:00</x:v>
      </x:c>
      <x:c r="E13" s="17" t="str">
        <x:v>Day 1 09:00:00</x:v>
      </x:c>
      <x:c r="F13" s="42" t="n">
        <x:v>5</x:v>
      </x:c>
      <x:c r="G13" s="42" t="n">
        <x:v>5</x:v>
      </x:c>
      <x:c r="H13" s="42" t="n">
        <x:v>100</x:v>
      </x:c>
      <x:c r="I13" s="42" t="n">
        <x:v>100</x:v>
      </x:c>
      <x:c r="J13" s="42" t="n">
        <x:v>500</x:v>
      </x:c>
      <x:c r="K13" s="48" t="n">
        <x:f>IF(J13="","",I13/J13)</x:f>
        <x:v>0.2</x:v>
      </x:c>
      <x:c r="L13" s="42" t="n">
        <x:v>25</x:v>
      </x:c>
      <x:c r="M13" s="42" t="n">
        <x:v>60</x:v>
      </x:c>
      <x:c r="N13" s="42" t="n">
        <x:v>60</x:v>
      </x:c>
      <x:c r="O13" s="48" t="n">
        <x:f>IF(N13="","",M13/N13)</x:f>
        <x:v>1</x:v>
      </x:c>
      <x:c r="P13" s="17" t="str">
        <x:v>A</x:v>
      </x:c>
      <x:c r="Q13" s="42"/>
      <x:c r="R13" s="42"/>
      <x:c r="S13" s="42"/>
      <x:c r="T13" s="42" t="n">
        <x:v>5</x:v>
      </x:c>
    </x:row>
    <x:row r="14" ht="22" customHeight="1">
      <x:c r="A14" s="50" t="n">
        <x:v>2</x:v>
      </x:c>
      <x:c r="B14" s="2" t="str">
        <x:v>Owen</x:v>
      </x:c>
      <x:c r="C14" s="2" t="str">
        <x:v>A Room of Their Own</x:v>
      </x:c>
      <x:c r="D14" s="2" t="str">
        <x:v>Day 1 08:06:00</x:v>
      </x:c>
      <x:c r="E14" s="2" t="str">
        <x:v>Day 1 09:00:00</x:v>
      </x:c>
      <x:c r="F14" s="31" t="n">
        <x:v>9</x:v>
      </x:c>
      <x:c r="G14" s="31" t="n">
        <x:v>9</x:v>
      </x:c>
      <x:c r="H14" s="31" t="n">
        <x:v>100</x:v>
      </x:c>
      <x:c r="I14" s="31" t="n">
        <x:v>100</x:v>
      </x:c>
      <x:c r="J14" s="31" t="n">
        <x:v>900</x:v>
      </x:c>
      <x:c r="K14" s="47" t="n">
        <x:f>IF(J14="","",I14/J14)</x:f>
        <x:v>0.1111111111111111</x:v>
      </x:c>
      <x:c r="L14" s="31" t="n">
        <x:v>30</x:v>
      </x:c>
      <x:c r="M14" s="31" t="n">
        <x:v>80</x:v>
      </x:c>
      <x:c r="N14" s="31" t="n">
        <x:v>80</x:v>
      </x:c>
      <x:c r="O14" s="47" t="n">
        <x:f>IF(N14="","",M14/N14)</x:f>
        <x:v>1</x:v>
      </x:c>
      <x:c r="P14" s="2" t="str">
        <x:v>A</x:v>
      </x:c>
      <x:c r="Q14" s="31"/>
      <x:c r="R14" s="31"/>
      <x:c r="S14" s="31"/>
      <x:c r="T14" s="31" t="n">
        <x:v>5</x:v>
      </x:c>
    </x:row>
    <x:row r="15" ht="22" customHeight="1">
      <x:c r="A15" s="51" t="n">
        <x:v>2</x:v>
      </x:c>
      <x:c r="B15" s="17" t="str">
        <x:v>Dane</x:v>
      </x:c>
      <x:c r="C15" s="17" t="str">
        <x:v>A Room of Their Own</x:v>
      </x:c>
      <x:c r="D15" s="17" t="str">
        <x:v>Day 1 08:06:00</x:v>
      </x:c>
      <x:c r="E15" s="17" t="str">
        <x:v>Day 1 09:00:00</x:v>
      </x:c>
      <x:c r="F15" s="42" t="n">
        <x:v>9</x:v>
      </x:c>
      <x:c r="G15" s="42" t="n">
        <x:v>9</x:v>
      </x:c>
      <x:c r="H15" s="42" t="n">
        <x:v>100</x:v>
      </x:c>
      <x:c r="I15" s="42" t="n">
        <x:v>100</x:v>
      </x:c>
      <x:c r="J15" s="42" t="n">
        <x:v>900</x:v>
      </x:c>
      <x:c r="K15" s="48" t="n">
        <x:f>IF(J15="","",I15/J15)</x:f>
        <x:v>0.1111111111111111</x:v>
      </x:c>
      <x:c r="L15" s="42" t="n">
        <x:v>25</x:v>
      </x:c>
      <x:c r="M15" s="42" t="n">
        <x:v>80</x:v>
      </x:c>
      <x:c r="N15" s="42" t="n">
        <x:v>80</x:v>
      </x:c>
      <x:c r="O15" s="48" t="n">
        <x:f>IF(N15="","",M15/N15)</x:f>
        <x:v>1</x:v>
      </x:c>
      <x:c r="P15" s="17" t="str">
        <x:v>A</x:v>
      </x:c>
      <x:c r="Q15" s="42"/>
      <x:c r="R15" s="42"/>
      <x:c r="S15" s="42"/>
      <x:c r="T15" s="42" t="n">
        <x:v>5</x:v>
      </x:c>
    </x:row>
    <x:row r="16" ht="22" customHeight="1">
      <x:c r="A16" s="50" t="n">
        <x:v>3</x:v>
      </x:c>
      <x:c r="B16" s="2" t="str">
        <x:v>Kip</x:v>
      </x:c>
      <x:c r="C16" s="2" t="str">
        <x:v>What Healing Leaves Behind</x:v>
      </x:c>
      <x:c r="D16" s="2" t="str">
        <x:v>Day 1 09:00:00</x:v>
      </x:c>
      <x:c r="E16" s="2" t="str">
        <x:v>Day 1 10:00:00</x:v>
      </x:c>
      <x:c r="F16" s="31" t="n">
        <x:v>2</x:v>
      </x:c>
      <x:c r="G16" s="31" t="n">
        <x:v>2</x:v>
      </x:c>
      <x:c r="H16" s="31" t="n">
        <x:v>0</x:v>
      </x:c>
      <x:c r="I16" s="31" t="n">
        <x:v>100</x:v>
      </x:c>
      <x:c r="J16" s="31" t="n">
        <x:v>200</x:v>
      </x:c>
      <x:c r="K16" s="47" t="n">
        <x:f>IF(J16="","",I16/J16)</x:f>
        <x:v>0.5</x:v>
      </x:c>
      <x:c r="L16" s="31" t="n">
        <x:v>45</x:v>
      </x:c>
      <x:c r="M16" s="31" t="n">
        <x:v>30</x:v>
      </x:c>
      <x:c r="N16" s="31" t="n">
        <x:v>45</x:v>
      </x:c>
      <x:c r="O16" s="47" t="n">
        <x:f>IF(N16="","",M16/N16)</x:f>
        <x:v>0.6666666666666666</x:v>
      </x:c>
      <x:c r="P16" s="2" t="str">
        <x:v>A</x:v>
      </x:c>
      <x:c r="Q16" s="31" t="n">
        <x:v>0</x:v>
      </x:c>
      <x:c r="R16" s="31" t="n">
        <x:v>0</x:v>
      </x:c>
      <x:c r="S16" s="31" t="n">
        <x:v>0</x:v>
      </x:c>
      <x:c r="T16" s="31" t="n">
        <x:v>5</x:v>
      </x:c>
    </x:row>
    <x:row r="17" ht="22" customHeight="1">
      <x:c r="A17" s="51" t="n">
        <x:v>3</x:v>
      </x:c>
      <x:c r="B17" s="17" t="str">
        <x:v>Tessa</x:v>
      </x:c>
      <x:c r="C17" s="17" t="str">
        <x:v>What Healing Leaves Behind</x:v>
      </x:c>
      <x:c r="D17" s="17" t="str">
        <x:v>Day 1 09:00:00</x:v>
      </x:c>
      <x:c r="E17" s="17" t="str">
        <x:v>Day 1 10:00:00</x:v>
      </x:c>
      <x:c r="F17" s="42" t="n">
        <x:v>5</x:v>
      </x:c>
      <x:c r="G17" s="42" t="n">
        <x:v>5</x:v>
      </x:c>
      <x:c r="H17" s="42" t="n">
        <x:v>100</x:v>
      </x:c>
      <x:c r="I17" s="42" t="n">
        <x:v>200</x:v>
      </x:c>
      <x:c r="J17" s="42" t="n">
        <x:v>500</x:v>
      </x:c>
      <x:c r="K17" s="48" t="n">
        <x:f>IF(J17="","",I17/J17)</x:f>
        <x:v>0.4</x:v>
      </x:c>
      <x:c r="L17" s="42" t="n">
        <x:v>60</x:v>
      </x:c>
      <x:c r="M17" s="42" t="n">
        <x:v>45</x:v>
      </x:c>
      <x:c r="N17" s="42" t="n">
        <x:v>60</x:v>
      </x:c>
      <x:c r="O17" s="48" t="n">
        <x:f>IF(N17="","",M17/N17)</x:f>
        <x:v>0.75</x:v>
      </x:c>
      <x:c r="P17" s="17" t="str">
        <x:v>A</x:v>
      </x:c>
      <x:c r="Q17" s="42"/>
      <x:c r="R17" s="42"/>
      <x:c r="S17" s="42"/>
      <x:c r="T17" s="42" t="n">
        <x:v>5</x:v>
      </x:c>
    </x:row>
    <x:row r="18" ht="22" customHeight="1">
      <x:c r="A18" s="50" t="n">
        <x:v>3</x:v>
      </x:c>
      <x:c r="B18" s="2" t="str">
        <x:v>Owen</x:v>
      </x:c>
      <x:c r="C18" s="2" t="str">
        <x:v>What Healing Leaves Behind</x:v>
      </x:c>
      <x:c r="D18" s="2" t="str">
        <x:v>Day 1 09:00:00</x:v>
      </x:c>
      <x:c r="E18" s="2" t="str">
        <x:v>Day 1 10:00:00</x:v>
      </x:c>
      <x:c r="F18" s="31" t="n">
        <x:v>9</x:v>
      </x:c>
      <x:c r="G18" s="31" t="n">
        <x:v>9</x:v>
      </x:c>
      <x:c r="H18" s="31" t="n">
        <x:v>100</x:v>
      </x:c>
      <x:c r="I18" s="31" t="n">
        <x:v>200</x:v>
      </x:c>
      <x:c r="J18" s="31" t="n">
        <x:v>900</x:v>
      </x:c>
      <x:c r="K18" s="47" t="n">
        <x:f>IF(J18="","",I18/J18)</x:f>
        <x:v>0.2222222222222222</x:v>
      </x:c>
      <x:c r="L18" s="31" t="n">
        <x:v>80</x:v>
      </x:c>
      <x:c r="M18" s="31" t="n">
        <x:v>70</x:v>
      </x:c>
      <x:c r="N18" s="31" t="n">
        <x:v>80</x:v>
      </x:c>
      <x:c r="O18" s="47" t="n">
        <x:f>IF(N18="","",M18/N18)</x:f>
        <x:v>0.875</x:v>
      </x:c>
      <x:c r="P18" s="2" t="str">
        <x:v>A</x:v>
      </x:c>
      <x:c r="Q18" s="31"/>
      <x:c r="R18" s="31"/>
      <x:c r="S18" s="31"/>
      <x:c r="T18" s="31" t="n">
        <x:v>5</x:v>
      </x:c>
    </x:row>
    <x:row r="19" ht="22" customHeight="1">
      <x:c r="A19" s="51" t="n">
        <x:v>3</x:v>
      </x:c>
      <x:c r="B19" s="17" t="str">
        <x:v>Dane</x:v>
      </x:c>
      <x:c r="C19" s="17" t="str">
        <x:v>What Healing Leaves Behind</x:v>
      </x:c>
      <x:c r="D19" s="17" t="str">
        <x:v>Day 1 09:00:00</x:v>
      </x:c>
      <x:c r="E19" s="17" t="str">
        <x:v>Day 1 10:00:00</x:v>
      </x:c>
      <x:c r="F19" s="42" t="n">
        <x:v>9</x:v>
      </x:c>
      <x:c r="G19" s="42" t="n">
        <x:v>9</x:v>
      </x:c>
      <x:c r="H19" s="42" t="n">
        <x:v>100</x:v>
      </x:c>
      <x:c r="I19" s="42" t="n">
        <x:v>200</x:v>
      </x:c>
      <x:c r="J19" s="42" t="n">
        <x:v>900</x:v>
      </x:c>
      <x:c r="K19" s="48" t="n">
        <x:f>IF(J19="","",I19/J19)</x:f>
        <x:v>0.2222222222222222</x:v>
      </x:c>
      <x:c r="L19" s="42" t="n">
        <x:v>80</x:v>
      </x:c>
      <x:c r="M19" s="42" t="n">
        <x:v>65</x:v>
      </x:c>
      <x:c r="N19" s="42" t="n">
        <x:v>80</x:v>
      </x:c>
      <x:c r="O19" s="48" t="n">
        <x:f>IF(N19="","",M19/N19)</x:f>
        <x:v>0.8125</x:v>
      </x:c>
      <x:c r="P19" s="17" t="str">
        <x:v>A</x:v>
      </x:c>
      <x:c r="Q19" s="42"/>
      <x:c r="R19" s="42"/>
      <x:c r="S19" s="42"/>
      <x:c r="T19" s="42" t="n">
        <x:v>5</x:v>
      </x:c>
    </x:row>
    <x:row r="20" ht="22" customHeight="1">
      <x:c r="A20" s="50" t="n">
        <x:v>4</x:v>
      </x:c>
      <x:c r="B20" s="2" t="str">
        <x:v>Kip</x:v>
      </x:c>
      <x:c r="C20" s="2" t="str">
        <x:v>The Gate That Stayed Shut</x:v>
      </x:c>
      <x:c r="D20" s="2" t="str">
        <x:v>Day 1 10:00:00</x:v>
      </x:c>
      <x:c r="E20" s="2" t="str">
        <x:v>Day 1 11:00:00</x:v>
      </x:c>
      <x:c r="F20" s="31" t="n">
        <x:v>2</x:v>
      </x:c>
      <x:c r="G20" s="31" t="n">
        <x:v>3</x:v>
      </x:c>
      <x:c r="H20" s="31" t="n">
        <x:v>100</x:v>
      </x:c>
      <x:c r="I20" s="31" t="n">
        <x:v>200</x:v>
      </x:c>
      <x:c r="J20" s="31" t="n">
        <x:v>300</x:v>
      </x:c>
      <x:c r="K20" s="47" t="n">
        <x:f>IF(J20="","",I20/J20)</x:f>
        <x:v>0.6666666666666666</x:v>
      </x:c>
      <x:c r="L20" s="31" t="n">
        <x:v>30</x:v>
      </x:c>
      <x:c r="M20" s="31" t="n">
        <x:v>50</x:v>
      </x:c>
      <x:c r="N20" s="31" t="n">
        <x:v>50</x:v>
      </x:c>
      <x:c r="O20" s="47" t="n">
        <x:f>IF(N20="","",M20/N20)</x:f>
        <x:v>1</x:v>
      </x:c>
      <x:c r="P20" s="2" t="str">
        <x:v>A</x:v>
      </x:c>
      <x:c r="Q20" s="31" t="n">
        <x:v>0</x:v>
      </x:c>
      <x:c r="R20" s="31" t="n">
        <x:v>0</x:v>
      </x:c>
      <x:c r="S20" s="31" t="n">
        <x:v>0</x:v>
      </x:c>
      <x:c r="T20" s="31" t="n">
        <x:v>5</x:v>
      </x:c>
    </x:row>
    <x:row r="21" ht="22" customHeight="1">
      <x:c r="A21" s="51" t="n">
        <x:v>4</x:v>
      </x:c>
      <x:c r="B21" s="17" t="str">
        <x:v>Tessa</x:v>
      </x:c>
      <x:c r="C21" s="17" t="str">
        <x:v>The Gate That Stayed Shut</x:v>
      </x:c>
      <x:c r="D21" s="17" t="str">
        <x:v>Day 1 10:00:00</x:v>
      </x:c>
      <x:c r="E21" s="17" t="str">
        <x:v>Day 1 11:00:00</x:v>
      </x:c>
      <x:c r="F21" s="42" t="n">
        <x:v>5</x:v>
      </x:c>
      <x:c r="G21" s="42" t="n">
        <x:v>6</x:v>
      </x:c>
      <x:c r="H21" s="42" t="n">
        <x:v>200</x:v>
      </x:c>
      <x:c r="I21" s="42" t="n">
        <x:v>0</x:v>
      </x:c>
      <x:c r="J21" s="42" t="n">
        <x:v>600</x:v>
      </x:c>
      <x:c r="K21" s="48" t="n">
        <x:f>IF(J21="","",I21/J21)</x:f>
        <x:v>0</x:v>
      </x:c>
      <x:c r="L21" s="42" t="n">
        <x:v>45</x:v>
      </x:c>
      <x:c r="M21" s="42" t="n">
        <x:v>65</x:v>
      </x:c>
      <x:c r="N21" s="42" t="n">
        <x:v>65</x:v>
      </x:c>
      <x:c r="O21" s="48" t="n">
        <x:f>IF(N21="","",M21/N21)</x:f>
        <x:v>1</x:v>
      </x:c>
      <x:c r="P21" s="17" t="str">
        <x:v>A</x:v>
      </x:c>
      <x:c r="Q21" s="42"/>
      <x:c r="R21" s="42"/>
      <x:c r="S21" s="42"/>
      <x:c r="T21" s="42" t="n">
        <x:v>5</x:v>
      </x:c>
    </x:row>
    <x:row r="22" ht="22" customHeight="1">
      <x:c r="A22" s="50" t="n">
        <x:v>4</x:v>
      </x:c>
      <x:c r="B22" s="2" t="str">
        <x:v>Owen</x:v>
      </x:c>
      <x:c r="C22" s="2" t="str">
        <x:v>The Gate That Stayed Shut</x:v>
      </x:c>
      <x:c r="D22" s="2" t="str">
        <x:v>Day 1 10:00:00</x:v>
      </x:c>
      <x:c r="E22" s="2" t="str">
        <x:v>Day 1 11:00:00</x:v>
      </x:c>
      <x:c r="F22" s="31" t="n">
        <x:v>9</x:v>
      </x:c>
      <x:c r="G22" s="31" t="n">
        <x:v>9</x:v>
      </x:c>
      <x:c r="H22" s="31" t="n">
        <x:v>200</x:v>
      </x:c>
      <x:c r="I22" s="31" t="n">
        <x:v>500</x:v>
      </x:c>
      <x:c r="J22" s="31" t="n">
        <x:v>900</x:v>
      </x:c>
      <x:c r="K22" s="47" t="n">
        <x:f>IF(J22="","",I22/J22)</x:f>
        <x:v>0.5555555555555556</x:v>
      </x:c>
      <x:c r="L22" s="31" t="n">
        <x:v>70</x:v>
      </x:c>
      <x:c r="M22" s="31" t="n">
        <x:v>80</x:v>
      </x:c>
      <x:c r="N22" s="31" t="n">
        <x:v>80</x:v>
      </x:c>
      <x:c r="O22" s="47" t="n">
        <x:f>IF(N22="","",M22/N22)</x:f>
        <x:v>1</x:v>
      </x:c>
      <x:c r="P22" s="2" t="str">
        <x:v>A</x:v>
      </x:c>
      <x:c r="Q22" s="31"/>
      <x:c r="R22" s="31"/>
      <x:c r="S22" s="31"/>
      <x:c r="T22" s="31" t="n">
        <x:v>5</x:v>
      </x:c>
    </x:row>
    <x:row r="23" ht="22" customHeight="1">
      <x:c r="A23" s="51" t="n">
        <x:v>4</x:v>
      </x:c>
      <x:c r="B23" s="17" t="str">
        <x:v>Dane</x:v>
      </x:c>
      <x:c r="C23" s="17" t="str">
        <x:v>The Gate That Stayed Shut</x:v>
      </x:c>
      <x:c r="D23" s="17" t="str">
        <x:v>Day 1 10:00:00</x:v>
      </x:c>
      <x:c r="E23" s="17" t="str">
        <x:v>Day 1 11:00:00</x:v>
      </x:c>
      <x:c r="F23" s="42" t="n">
        <x:v>9</x:v>
      </x:c>
      <x:c r="G23" s="42" t="n">
        <x:v>9</x:v>
      </x:c>
      <x:c r="H23" s="42" t="n">
        <x:v>200</x:v>
      </x:c>
      <x:c r="I23" s="42" t="n">
        <x:v>500</x:v>
      </x:c>
      <x:c r="J23" s="42" t="n">
        <x:v>900</x:v>
      </x:c>
      <x:c r="K23" s="48" t="n">
        <x:f>IF(J23="","",I23/J23)</x:f>
        <x:v>0.5555555555555556</x:v>
      </x:c>
      <x:c r="L23" s="42" t="n">
        <x:v>65</x:v>
      </x:c>
      <x:c r="M23" s="42" t="n">
        <x:v>80</x:v>
      </x:c>
      <x:c r="N23" s="42" t="n">
        <x:v>80</x:v>
      </x:c>
      <x:c r="O23" s="48" t="n">
        <x:f>IF(N23="","",M23/N23)</x:f>
        <x:v>1</x:v>
      </x:c>
      <x:c r="P23" s="17" t="str">
        <x:v>A</x:v>
      </x:c>
      <x:c r="Q23" s="42"/>
      <x:c r="R23" s="42"/>
      <x:c r="S23" s="42"/>
      <x:c r="T23" s="42" t="n">
        <x:v>5</x:v>
      </x:c>
    </x:row>
    <x:row r="24" ht="22" customHeight="1">
      <x:c r="A24" s="50" t="n">
        <x:v>5</x:v>
      </x:c>
      <x:c r="B24" s="2" t="str">
        <x:v>Kip</x:v>
      </x:c>
      <x:c r="C24" s="2" t="str">
        <x:v>Water Runs Down</x:v>
      </x:c>
      <x:c r="D24" s="2" t="str">
        <x:v>Day 1 11:00:00</x:v>
      </x:c>
      <x:c r="E24" s="2" t="str">
        <x:v>Day 1 14:00:00</x:v>
      </x:c>
      <x:c r="F24" s="31" t="n">
        <x:v>3</x:v>
      </x:c>
      <x:c r="G24" s="31" t="n">
        <x:v>4</x:v>
      </x:c>
      <x:c r="H24" s="31" t="n">
        <x:v>200</x:v>
      </x:c>
      <x:c r="I24" s="31" t="n">
        <x:v>200</x:v>
      </x:c>
      <x:c r="J24" s="31" t="n">
        <x:v>400</x:v>
      </x:c>
      <x:c r="K24" s="47" t="n">
        <x:f>IF(J24="","",I24/J24)</x:f>
        <x:v>0.5</x:v>
      </x:c>
      <x:c r="L24" s="31" t="n">
        <x:v>50</x:v>
      </x:c>
      <x:c r="M24" s="31" t="n">
        <x:v>55</x:v>
      </x:c>
      <x:c r="N24" s="31" t="n">
        <x:v>55</x:v>
      </x:c>
      <x:c r="O24" s="47" t="n">
        <x:f>IF(N24="","",M24/N24)</x:f>
        <x:v>1</x:v>
      </x:c>
      <x:c r="P24" s="2" t="str">
        <x:v>A</x:v>
      </x:c>
      <x:c r="Q24" s="31" t="n">
        <x:v>0</x:v>
      </x:c>
      <x:c r="R24" s="31" t="n">
        <x:v>0</x:v>
      </x:c>
      <x:c r="S24" s="31" t="n">
        <x:v>0</x:v>
      </x:c>
      <x:c r="T24" s="31" t="n">
        <x:v>7</x:v>
      </x:c>
    </x:row>
    <x:row r="25" ht="22" customHeight="1">
      <x:c r="A25" s="51" t="n">
        <x:v>5</x:v>
      </x:c>
      <x:c r="B25" s="17" t="str">
        <x:v>Tessa</x:v>
      </x:c>
      <x:c r="C25" s="17" t="str">
        <x:v>Water Runs Down</x:v>
      </x:c>
      <x:c r="D25" s="17" t="str">
        <x:v>Day 1 11:00:00</x:v>
      </x:c>
      <x:c r="E25" s="17" t="str">
        <x:v>Day 1 14:00:00</x:v>
      </x:c>
      <x:c r="F25" s="42" t="n">
        <x:v>6</x:v>
      </x:c>
      <x:c r="G25" s="42" t="n">
        <x:v>6</x:v>
      </x:c>
      <x:c r="H25" s="42" t="n">
        <x:v>0</x:v>
      </x:c>
      <x:c r="I25" s="42" t="n">
        <x:v>300</x:v>
      </x:c>
      <x:c r="J25" s="42" t="n">
        <x:v>600</x:v>
      </x:c>
      <x:c r="K25" s="48" t="n">
        <x:f>IF(J25="","",I25/J25)</x:f>
        <x:v>0.5</x:v>
      </x:c>
      <x:c r="L25" s="42" t="n">
        <x:v>65</x:v>
      </x:c>
      <x:c r="M25" s="42" t="n">
        <x:v>65</x:v>
      </x:c>
      <x:c r="N25" s="42" t="n">
        <x:v>65</x:v>
      </x:c>
      <x:c r="O25" s="48" t="n">
        <x:f>IF(N25="","",M25/N25)</x:f>
        <x:v>1</x:v>
      </x:c>
      <x:c r="P25" s="17" t="str">
        <x:v>A</x:v>
      </x:c>
      <x:c r="Q25" s="42"/>
      <x:c r="R25" s="42"/>
      <x:c r="S25" s="42"/>
      <x:c r="T25" s="42" t="n">
        <x:v>7</x:v>
      </x:c>
    </x:row>
    <x:row r="26" ht="22" customHeight="1">
      <x:c r="A26" s="50" t="n">
        <x:v>5</x:v>
      </x:c>
      <x:c r="B26" s="2" t="str">
        <x:v>Owen</x:v>
      </x:c>
      <x:c r="C26" s="2" t="str">
        <x:v>Water Runs Down</x:v>
      </x:c>
      <x:c r="D26" s="2" t="str">
        <x:v>Day 1 11:00:00</x:v>
      </x:c>
      <x:c r="E26" s="2" t="str">
        <x:v>Day 1 14:00:00</x:v>
      </x:c>
      <x:c r="F26" s="31" t="n">
        <x:v>9</x:v>
      </x:c>
      <x:c r="G26" s="31" t="n">
        <x:v>9</x:v>
      </x:c>
      <x:c r="H26" s="31" t="n">
        <x:v>500</x:v>
      </x:c>
      <x:c r="I26" s="31" t="n">
        <x:v>800</x:v>
      </x:c>
      <x:c r="J26" s="31" t="n">
        <x:v>900</x:v>
      </x:c>
      <x:c r="K26" s="47" t="n">
        <x:f>IF(J26="","",I26/J26)</x:f>
        <x:v>0.8888888888888888</x:v>
      </x:c>
      <x:c r="L26" s="31" t="n">
        <x:v>80</x:v>
      </x:c>
      <x:c r="M26" s="31" t="n">
        <x:v>80</x:v>
      </x:c>
      <x:c r="N26" s="31" t="n">
        <x:v>80</x:v>
      </x:c>
      <x:c r="O26" s="47" t="n">
        <x:f>IF(N26="","",M26/N26)</x:f>
        <x:v>1</x:v>
      </x:c>
      <x:c r="P26" s="2" t="str">
        <x:v>A</x:v>
      </x:c>
      <x:c r="Q26" s="31"/>
      <x:c r="R26" s="31"/>
      <x:c r="S26" s="31"/>
      <x:c r="T26" s="31" t="n">
        <x:v>7</x:v>
      </x:c>
    </x:row>
    <x:row r="27" ht="22" customHeight="1">
      <x:c r="A27" s="51" t="n">
        <x:v>5</x:v>
      </x:c>
      <x:c r="B27" s="17" t="str">
        <x:v>Dane</x:v>
      </x:c>
      <x:c r="C27" s="17" t="str">
        <x:v>Water Runs Down</x:v>
      </x:c>
      <x:c r="D27" s="17" t="str">
        <x:v>Day 1 11:00:00</x:v>
      </x:c>
      <x:c r="E27" s="17" t="str">
        <x:v>Day 1 14:00:00</x:v>
      </x:c>
      <x:c r="F27" s="42" t="n">
        <x:v>9</x:v>
      </x:c>
      <x:c r="G27" s="42" t="n">
        <x:v>9</x:v>
      </x:c>
      <x:c r="H27" s="42" t="n">
        <x:v>500</x:v>
      </x:c>
      <x:c r="I27" s="42" t="n">
        <x:v>800</x:v>
      </x:c>
      <x:c r="J27" s="42" t="n">
        <x:v>900</x:v>
      </x:c>
      <x:c r="K27" s="48" t="n">
        <x:f>IF(J27="","",I27/J27)</x:f>
        <x:v>0.8888888888888888</x:v>
      </x:c>
      <x:c r="L27" s="42" t="n">
        <x:v>80</x:v>
      </x:c>
      <x:c r="M27" s="42" t="n">
        <x:v>80</x:v>
      </x:c>
      <x:c r="N27" s="42" t="n">
        <x:v>80</x:v>
      </x:c>
      <x:c r="O27" s="48" t="n">
        <x:f>IF(N27="","",M27/N27)</x:f>
        <x:v>1</x:v>
      </x:c>
      <x:c r="P27" s="17" t="str">
        <x:v>A</x:v>
      </x:c>
      <x:c r="Q27" s="42"/>
      <x:c r="R27" s="42"/>
      <x:c r="S27" s="42"/>
      <x:c r="T27" s="42" t="n">
        <x:v>7</x:v>
      </x:c>
    </x:row>
    <x:row r="28" ht="22" customHeight="1">
      <x:c r="A28" s="50" t="n">
        <x:v>6</x:v>
      </x:c>
      <x:c r="B28" s="2" t="str">
        <x:v>Kip</x:v>
      </x:c>
      <x:c r="C28" s="2" t="str">
        <x:v>The Price of a Better Shelter</x:v>
      </x:c>
      <x:c r="D28" s="2" t="str">
        <x:v>Day 1 14:00:00</x:v>
      </x:c>
      <x:c r="E28" s="2" t="str">
        <x:v>Day 1 16:00:00</x:v>
      </x:c>
      <x:c r="F28" s="31" t="n">
        <x:v>4</x:v>
      </x:c>
      <x:c r="G28" s="31" t="n">
        <x:v>5</x:v>
      </x:c>
      <x:c r="H28" s="31" t="n">
        <x:v>200</x:v>
      </x:c>
      <x:c r="I28" s="31" t="n">
        <x:v>100</x:v>
      </x:c>
      <x:c r="J28" s="31" t="n">
        <x:v>500</x:v>
      </x:c>
      <x:c r="K28" s="47" t="n">
        <x:f>IF(J28="","",I28/J28)</x:f>
        <x:v>0.2</x:v>
      </x:c>
      <x:c r="L28" s="31" t="n">
        <x:v>55</x:v>
      </x:c>
      <x:c r="M28" s="31" t="n">
        <x:v>60</x:v>
      </x:c>
      <x:c r="N28" s="31" t="n">
        <x:v>60</x:v>
      </x:c>
      <x:c r="O28" s="47" t="n">
        <x:f>IF(N28="","",M28/N28)</x:f>
        <x:v>1</x:v>
      </x:c>
      <x:c r="P28" s="2" t="str">
        <x:v>B</x:v>
      </x:c>
      <x:c r="Q28" s="31" t="n">
        <x:v>0</x:v>
      </x:c>
      <x:c r="R28" s="31" t="n">
        <x:v>0</x:v>
      </x:c>
      <x:c r="S28" s="31" t="n">
        <x:v>0</x:v>
      </x:c>
      <x:c r="T28" s="31" t="n">
        <x:v>7</x:v>
      </x:c>
    </x:row>
    <x:row r="29" ht="22" customHeight="1">
      <x:c r="A29" s="51" t="n">
        <x:v>6</x:v>
      </x:c>
      <x:c r="B29" s="17" t="str">
        <x:v>Tessa</x:v>
      </x:c>
      <x:c r="C29" s="17" t="str">
        <x:v>The Price of a Better Shelter</x:v>
      </x:c>
      <x:c r="D29" s="17" t="str">
        <x:v>Day 1 14:00:00</x:v>
      </x:c>
      <x:c r="E29" s="17" t="str">
        <x:v>Day 1 16:00:00</x:v>
      </x:c>
      <x:c r="F29" s="42" t="n">
        <x:v>6</x:v>
      </x:c>
      <x:c r="G29" s="42" t="n">
        <x:v>7</x:v>
      </x:c>
      <x:c r="H29" s="42" t="n">
        <x:v>300</x:v>
      </x:c>
      <x:c r="I29" s="42" t="n">
        <x:v>0</x:v>
      </x:c>
      <x:c r="J29" s="42" t="n">
        <x:v>700</x:v>
      </x:c>
      <x:c r="K29" s="48" t="n">
        <x:f>IF(J29="","",I29/J29)</x:f>
        <x:v>0</x:v>
      </x:c>
      <x:c r="L29" s="42" t="n">
        <x:v>65</x:v>
      </x:c>
      <x:c r="M29" s="42" t="n">
        <x:v>70</x:v>
      </x:c>
      <x:c r="N29" s="42" t="n">
        <x:v>70</x:v>
      </x:c>
      <x:c r="O29" s="48" t="n">
        <x:f>IF(N29="","",M29/N29)</x:f>
        <x:v>1</x:v>
      </x:c>
      <x:c r="P29" s="17" t="str">
        <x:v>B</x:v>
      </x:c>
      <x:c r="Q29" s="42"/>
      <x:c r="R29" s="42"/>
      <x:c r="S29" s="42"/>
      <x:c r="T29" s="42" t="n">
        <x:v>7</x:v>
      </x:c>
    </x:row>
    <x:row r="30" ht="22" customHeight="1">
      <x:c r="A30" s="50" t="n">
        <x:v>6</x:v>
      </x:c>
      <x:c r="B30" s="2" t="str">
        <x:v>Owen</x:v>
      </x:c>
      <x:c r="C30" s="2" t="str">
        <x:v>The Price of a Better Shelter</x:v>
      </x:c>
      <x:c r="D30" s="2" t="str">
        <x:v>Day 1 14:00:00</x:v>
      </x:c>
      <x:c r="E30" s="2" t="str">
        <x:v>Day 1 16:00:00</x:v>
      </x:c>
      <x:c r="F30" s="31" t="n">
        <x:v>9</x:v>
      </x:c>
      <x:c r="G30" s="31" t="n">
        <x:v>10</x:v>
      </x:c>
      <x:c r="H30" s="31" t="n">
        <x:v>800</x:v>
      </x:c>
      <x:c r="I30" s="31" t="n">
        <x:v>200</x:v>
      </x:c>
      <x:c r="J30" s="31" t="n">
        <x:v>1000</x:v>
      </x:c>
      <x:c r="K30" s="47" t="n">
        <x:f>IF(J30="","",I30/J30)</x:f>
        <x:v>0.2</x:v>
      </x:c>
      <x:c r="L30" s="31" t="n">
        <x:v>80</x:v>
      </x:c>
      <x:c r="M30" s="31" t="n">
        <x:v>85</x:v>
      </x:c>
      <x:c r="N30" s="31" t="n">
        <x:v>85</x:v>
      </x:c>
      <x:c r="O30" s="47" t="n">
        <x:f>IF(N30="","",M30/N30)</x:f>
        <x:v>1</x:v>
      </x:c>
      <x:c r="P30" s="2" t="str">
        <x:v>B</x:v>
      </x:c>
      <x:c r="Q30" s="31"/>
      <x:c r="R30" s="31"/>
      <x:c r="S30" s="31"/>
      <x:c r="T30" s="31" t="n">
        <x:v>7</x:v>
      </x:c>
    </x:row>
    <x:row r="31" ht="22" customHeight="1">
      <x:c r="A31" s="51" t="n">
        <x:v>6</x:v>
      </x:c>
      <x:c r="B31" s="17" t="str">
        <x:v>Dane</x:v>
      </x:c>
      <x:c r="C31" s="17" t="str">
        <x:v>The Price of a Better Shelter</x:v>
      </x:c>
      <x:c r="D31" s="17" t="str">
        <x:v>Day 1 14:00:00</x:v>
      </x:c>
      <x:c r="E31" s="17" t="str">
        <x:v>Day 1 16:00:00</x:v>
      </x:c>
      <x:c r="F31" s="42" t="n">
        <x:v>9</x:v>
      </x:c>
      <x:c r="G31" s="42" t="n">
        <x:v>10</x:v>
      </x:c>
      <x:c r="H31" s="42" t="n">
        <x:v>800</x:v>
      </x:c>
      <x:c r="I31" s="42" t="n">
        <x:v>200</x:v>
      </x:c>
      <x:c r="J31" s="42" t="n">
        <x:v>1000</x:v>
      </x:c>
      <x:c r="K31" s="48" t="n">
        <x:f>IF(J31="","",I31/J31)</x:f>
        <x:v>0.2</x:v>
      </x:c>
      <x:c r="L31" s="42" t="n">
        <x:v>80</x:v>
      </x:c>
      <x:c r="M31" s="42" t="n">
        <x:v>85</x:v>
      </x:c>
      <x:c r="N31" s="42" t="n">
        <x:v>85</x:v>
      </x:c>
      <x:c r="O31" s="48" t="n">
        <x:f>IF(N31="","",M31/N31)</x:f>
        <x:v>1</x:v>
      </x:c>
      <x:c r="P31" s="17" t="str">
        <x:v>B</x:v>
      </x:c>
      <x:c r="Q31" s="42"/>
      <x:c r="R31" s="42"/>
      <x:c r="S31" s="42"/>
      <x:c r="T31" s="42" t="n">
        <x:v>7</x:v>
      </x:c>
    </x:row>
    <x:row r="32" ht="22" customHeight="1">
      <x:c r="A32" s="50" t="n">
        <x:v>7</x:v>
      </x:c>
      <x:c r="B32" s="2" t="str">
        <x:v>Kip</x:v>
      </x:c>
      <x:c r="C32" s="2" t="str">
        <x:v>Learning Where to Stand</x:v>
      </x:c>
      <x:c r="D32" s="2" t="str">
        <x:v>Day 1 16:00:00</x:v>
      </x:c>
      <x:c r="E32" s="2" t="str">
        <x:v>Day 2 09:00:00</x:v>
      </x:c>
      <x:c r="F32" s="31" t="n">
        <x:v>5</x:v>
      </x:c>
      <x:c r="G32" s="31" t="n">
        <x:v>5</x:v>
      </x:c>
      <x:c r="H32" s="31" t="n">
        <x:v>100</x:v>
      </x:c>
      <x:c r="I32" s="31" t="n">
        <x:v>100</x:v>
      </x:c>
      <x:c r="J32" s="31" t="n">
        <x:v>500</x:v>
      </x:c>
      <x:c r="K32" s="47" t="n">
        <x:f>IF(J32="","",I32/J32)</x:f>
        <x:v>0.2</x:v>
      </x:c>
      <x:c r="L32" s="31" t="n">
        <x:v>60</x:v>
      </x:c>
      <x:c r="M32" s="31" t="n">
        <x:v>60</x:v>
      </x:c>
      <x:c r="N32" s="31" t="n">
        <x:v>60</x:v>
      </x:c>
      <x:c r="O32" s="47" t="n">
        <x:f>IF(N32="","",M32/N32)</x:f>
        <x:v>1</x:v>
      </x:c>
      <x:c r="P32" s="2" t="str">
        <x:v>B</x:v>
      </x:c>
      <x:c r="Q32" s="31" t="n">
        <x:v>120</x:v>
      </x:c>
      <x:c r="R32" s="31" t="n">
        <x:v>120</x:v>
      </x:c>
      <x:c r="S32" s="31" t="n">
        <x:v>0</x:v>
      </x:c>
      <x:c r="T32" s="31" t="n">
        <x:v>7</x:v>
      </x:c>
    </x:row>
    <x:row r="33" ht="22" customHeight="1">
      <x:c r="A33" s="51" t="n">
        <x:v>7</x:v>
      </x:c>
      <x:c r="B33" s="17" t="str">
        <x:v>Tessa</x:v>
      </x:c>
      <x:c r="C33" s="17" t="str">
        <x:v>Learning Where to Stand</x:v>
      </x:c>
      <x:c r="D33" s="17" t="str">
        <x:v>Day 1 16:00:00</x:v>
      </x:c>
      <x:c r="E33" s="17" t="str">
        <x:v>Day 2 09:00:00</x:v>
      </x:c>
      <x:c r="F33" s="42" t="n">
        <x:v>7</x:v>
      </x:c>
      <x:c r="G33" s="42" t="n">
        <x:v>7</x:v>
      </x:c>
      <x:c r="H33" s="42" t="n">
        <x:v>0</x:v>
      </x:c>
      <x:c r="I33" s="42" t="n">
        <x:v>0</x:v>
      </x:c>
      <x:c r="J33" s="42" t="n">
        <x:v>700</x:v>
      </x:c>
      <x:c r="K33" s="48" t="n">
        <x:f>IF(J33="","",I33/J33)</x:f>
        <x:v>0</x:v>
      </x:c>
      <x:c r="L33" s="42" t="n">
        <x:v>70</x:v>
      </x:c>
      <x:c r="M33" s="42" t="n">
        <x:v>70</x:v>
      </x:c>
      <x:c r="N33" s="42" t="n">
        <x:v>70</x:v>
      </x:c>
      <x:c r="O33" s="48" t="n">
        <x:f>IF(N33="","",M33/N33)</x:f>
        <x:v>1</x:v>
      </x:c>
      <x:c r="P33" s="17" t="str">
        <x:v>B</x:v>
      </x:c>
      <x:c r="Q33" s="42"/>
      <x:c r="R33" s="42"/>
      <x:c r="S33" s="42"/>
      <x:c r="T33" s="42" t="n">
        <x:v>7</x:v>
      </x:c>
    </x:row>
    <x:row r="34" ht="22" customHeight="1">
      <x:c r="A34" s="50" t="n">
        <x:v>7</x:v>
      </x:c>
      <x:c r="B34" s="2" t="str">
        <x:v>Owen</x:v>
      </x:c>
      <x:c r="C34" s="2" t="str">
        <x:v>Learning Where to Stand</x:v>
      </x:c>
      <x:c r="D34" s="2" t="str">
        <x:v>Day 1 16:00:00</x:v>
      </x:c>
      <x:c r="E34" s="2" t="str">
        <x:v>Day 2 09:00:00</x:v>
      </x:c>
      <x:c r="F34" s="31" t="n">
        <x:v>10</x:v>
      </x:c>
      <x:c r="G34" s="31" t="n">
        <x:v>10</x:v>
      </x:c>
      <x:c r="H34" s="31" t="n">
        <x:v>200</x:v>
      </x:c>
      <x:c r="I34" s="31" t="n">
        <x:v>200</x:v>
      </x:c>
      <x:c r="J34" s="31" t="n">
        <x:v>1000</x:v>
      </x:c>
      <x:c r="K34" s="47" t="n">
        <x:f>IF(J34="","",I34/J34)</x:f>
        <x:v>0.2</x:v>
      </x:c>
      <x:c r="L34" s="31" t="n">
        <x:v>85</x:v>
      </x:c>
      <x:c r="M34" s="31" t="n">
        <x:v>85</x:v>
      </x:c>
      <x:c r="N34" s="31" t="n">
        <x:v>85</x:v>
      </x:c>
      <x:c r="O34" s="47" t="n">
        <x:f>IF(N34="","",M34/N34)</x:f>
        <x:v>1</x:v>
      </x:c>
      <x:c r="P34" s="2" t="str">
        <x:v>B</x:v>
      </x:c>
      <x:c r="Q34" s="31"/>
      <x:c r="R34" s="31"/>
      <x:c r="S34" s="31"/>
      <x:c r="T34" s="31" t="n">
        <x:v>7</x:v>
      </x:c>
    </x:row>
    <x:row r="35" ht="22" customHeight="1">
      <x:c r="A35" s="51" t="n">
        <x:v>7</x:v>
      </x:c>
      <x:c r="B35" s="17" t="str">
        <x:v>Dane</x:v>
      </x:c>
      <x:c r="C35" s="17" t="str">
        <x:v>Learning Where to Stand</x:v>
      </x:c>
      <x:c r="D35" s="17" t="str">
        <x:v>Day 1 16:00:00</x:v>
      </x:c>
      <x:c r="E35" s="17" t="str">
        <x:v>Day 2 09:00:00</x:v>
      </x:c>
      <x:c r="F35" s="42" t="n">
        <x:v>10</x:v>
      </x:c>
      <x:c r="G35" s="42" t="n">
        <x:v>10</x:v>
      </x:c>
      <x:c r="H35" s="42" t="n">
        <x:v>200</x:v>
      </x:c>
      <x:c r="I35" s="42" t="n">
        <x:v>200</x:v>
      </x:c>
      <x:c r="J35" s="42" t="n">
        <x:v>1000</x:v>
      </x:c>
      <x:c r="K35" s="48" t="n">
        <x:f>IF(J35="","",I35/J35)</x:f>
        <x:v>0.2</x:v>
      </x:c>
      <x:c r="L35" s="42" t="n">
        <x:v>85</x:v>
      </x:c>
      <x:c r="M35" s="42" t="n">
        <x:v>85</x:v>
      </x:c>
      <x:c r="N35" s="42" t="n">
        <x:v>85</x:v>
      </x:c>
      <x:c r="O35" s="48" t="n">
        <x:f>IF(N35="","",M35/N35)</x:f>
        <x:v>1</x:v>
      </x:c>
      <x:c r="P35" s="17" t="str">
        <x:v>B</x:v>
      </x:c>
      <x:c r="Q35" s="42"/>
      <x:c r="R35" s="42"/>
      <x:c r="S35" s="42"/>
      <x:c r="T35" s="42" t="n">
        <x:v>7</x:v>
      </x:c>
    </x:row>
    <x:row r="36" ht="22" customHeight="1">
      <x:c r="A36" s="50" t="n">
        <x:v>8</x:v>
      </x:c>
      <x:c r="B36" s="2" t="str">
        <x:v>Kip</x:v>
      </x:c>
      <x:c r="C36" s="2" t="str">
        <x:v>An Anchor Can Break</x:v>
      </x:c>
      <x:c r="D36" s="2" t="str">
        <x:v>Day 2 09:00:00</x:v>
      </x:c>
      <x:c r="E36" s="2" t="str">
        <x:v>Day 2 09:20:00</x:v>
      </x:c>
      <x:c r="F36" s="31" t="n">
        <x:v>5</x:v>
      </x:c>
      <x:c r="G36" s="31" t="n">
        <x:v>5</x:v>
      </x:c>
      <x:c r="H36" s="31" t="n">
        <x:v>100</x:v>
      </x:c>
      <x:c r="I36" s="31" t="n">
        <x:v>400</x:v>
      </x:c>
      <x:c r="J36" s="31" t="n">
        <x:v>500</x:v>
      </x:c>
      <x:c r="K36" s="47" t="n">
        <x:f>IF(J36="","",I36/J36)</x:f>
        <x:v>0.8</x:v>
      </x:c>
      <x:c r="L36" s="31" t="n">
        <x:v>60</x:v>
      </x:c>
      <x:c r="M36" s="31" t="n">
        <x:v>25</x:v>
      </x:c>
      <x:c r="N36" s="31" t="n">
        <x:v>60</x:v>
      </x:c>
      <x:c r="O36" s="47" t="n">
        <x:f>IF(N36="","",M36/N36)</x:f>
        <x:v>0.4166666666666667</x:v>
      </x:c>
      <x:c r="P36" s="2" t="str">
        <x:v>None</x:v>
      </x:c>
      <x:c r="Q36" s="31" t="n">
        <x:v>120</x:v>
      </x:c>
      <x:c r="R36" s="31" t="n">
        <x:v>120</x:v>
      </x:c>
      <x:c r="S36" s="31" t="n">
        <x:v>0</x:v>
      </x:c>
      <x:c r="T36" s="31" t="n">
        <x:v>7</x:v>
      </x:c>
    </x:row>
    <x:row r="37" ht="22" customHeight="1">
      <x:c r="A37" s="51" t="n">
        <x:v>8</x:v>
      </x:c>
      <x:c r="B37" s="17" t="str">
        <x:v>Tessa</x:v>
      </x:c>
      <x:c r="C37" s="17" t="str">
        <x:v>An Anchor Can Break</x:v>
      </x:c>
      <x:c r="D37" s="17" t="str">
        <x:v>Day 2 09:00:00</x:v>
      </x:c>
      <x:c r="E37" s="17" t="str">
        <x:v>Day 2 09:20:00</x:v>
      </x:c>
      <x:c r="F37" s="42" t="n">
        <x:v>7</x:v>
      </x:c>
      <x:c r="G37" s="42" t="n">
        <x:v>7</x:v>
      </x:c>
      <x:c r="H37" s="42" t="n">
        <x:v>0</x:v>
      </x:c>
      <x:c r="I37" s="42" t="n">
        <x:v>300</x:v>
      </x:c>
      <x:c r="J37" s="42" t="n">
        <x:v>700</x:v>
      </x:c>
      <x:c r="K37" s="48" t="n">
        <x:f>IF(J37="","",I37/J37)</x:f>
        <x:v>0.42857142857142855</x:v>
      </x:c>
      <x:c r="L37" s="42" t="n">
        <x:v>70</x:v>
      </x:c>
      <x:c r="M37" s="42" t="n">
        <x:v>60</x:v>
      </x:c>
      <x:c r="N37" s="42" t="n">
        <x:v>70</x:v>
      </x:c>
      <x:c r="O37" s="48" t="n">
        <x:f>IF(N37="","",M37/N37)</x:f>
        <x:v>0.8571428571428571</x:v>
      </x:c>
      <x:c r="P37" s="17" t="str">
        <x:v>None</x:v>
      </x:c>
      <x:c r="Q37" s="42"/>
      <x:c r="R37" s="42"/>
      <x:c r="S37" s="42"/>
      <x:c r="T37" s="42" t="n">
        <x:v>7</x:v>
      </x:c>
    </x:row>
    <x:row r="38" ht="22" customHeight="1">
      <x:c r="A38" s="50" t="n">
        <x:v>8</x:v>
      </x:c>
      <x:c r="B38" s="2" t="str">
        <x:v>Owen</x:v>
      </x:c>
      <x:c r="C38" s="2" t="str">
        <x:v>An Anchor Can Break</x:v>
      </x:c>
      <x:c r="D38" s="2" t="str">
        <x:v>Day 2 09:00:00</x:v>
      </x:c>
      <x:c r="E38" s="2" t="str">
        <x:v>Day 2 09:20:00</x:v>
      </x:c>
      <x:c r="F38" s="31" t="n">
        <x:v>10</x:v>
      </x:c>
      <x:c r="G38" s="31" t="n">
        <x:v>10</x:v>
      </x:c>
      <x:c r="H38" s="31" t="n">
        <x:v>200</x:v>
      </x:c>
      <x:c r="I38" s="31" t="n">
        <x:v>500</x:v>
      </x:c>
      <x:c r="J38" s="31" t="n">
        <x:v>1000</x:v>
      </x:c>
      <x:c r="K38" s="47" t="n">
        <x:f>IF(J38="","",I38/J38)</x:f>
        <x:v>0.5</x:v>
      </x:c>
      <x:c r="L38" s="31" t="n">
        <x:v>85</x:v>
      </x:c>
      <x:c r="M38" s="31" t="n">
        <x:v>75</x:v>
      </x:c>
      <x:c r="N38" s="31" t="n">
        <x:v>85</x:v>
      </x:c>
      <x:c r="O38" s="47" t="n">
        <x:f>IF(N38="","",M38/N38)</x:f>
        <x:v>0.8823529411764706</x:v>
      </x:c>
      <x:c r="P38" s="2" t="str">
        <x:v>None</x:v>
      </x:c>
      <x:c r="Q38" s="31"/>
      <x:c r="R38" s="31"/>
      <x:c r="S38" s="31"/>
      <x:c r="T38" s="31" t="n">
        <x:v>7</x:v>
      </x:c>
    </x:row>
    <x:row r="39" ht="22" customHeight="1">
      <x:c r="A39" s="51" t="n">
        <x:v>8</x:v>
      </x:c>
      <x:c r="B39" s="17" t="str">
        <x:v>Dane</x:v>
      </x:c>
      <x:c r="C39" s="17" t="str">
        <x:v>An Anchor Can Break</x:v>
      </x:c>
      <x:c r="D39" s="17" t="str">
        <x:v>Day 2 09:00:00</x:v>
      </x:c>
      <x:c r="E39" s="17" t="str">
        <x:v>Day 2 09:20:00</x:v>
      </x:c>
      <x:c r="F39" s="42" t="n">
        <x:v>10</x:v>
      </x:c>
      <x:c r="G39" s="42" t="n">
        <x:v>10</x:v>
      </x:c>
      <x:c r="H39" s="42" t="n">
        <x:v>200</x:v>
      </x:c>
      <x:c r="I39" s="42" t="n">
        <x:v>500</x:v>
      </x:c>
      <x:c r="J39" s="42" t="n">
        <x:v>1000</x:v>
      </x:c>
      <x:c r="K39" s="48" t="n">
        <x:f>IF(J39="","",I39/J39)</x:f>
        <x:v>0.5</x:v>
      </x:c>
      <x:c r="L39" s="42" t="n">
        <x:v>85</x:v>
      </x:c>
      <x:c r="M39" s="42" t="n">
        <x:v>50</x:v>
      </x:c>
      <x:c r="N39" s="42" t="n">
        <x:v>85</x:v>
      </x:c>
      <x:c r="O39" s="48" t="n">
        <x:f>IF(N39="","",M39/N39)</x:f>
        <x:v>0.5882352941176471</x:v>
      </x:c>
      <x:c r="P39" s="17" t="str">
        <x:v>None</x:v>
      </x:c>
      <x:c r="Q39" s="42"/>
      <x:c r="R39" s="42"/>
      <x:c r="S39" s="42"/>
      <x:c r="T39" s="42" t="n">
        <x:v>7</x:v>
      </x:c>
    </x:row>
    <x:row r="40" ht="22" customHeight="1">
      <x:c r="A40" s="50" t="n">
        <x:v>9</x:v>
      </x:c>
      <x:c r="B40" s="2" t="str">
        <x:v>Kip</x:v>
      </x:c>
      <x:c r="C40" s="2" t="str">
        <x:v>Terms Spoken Aloud</x:v>
      </x:c>
      <x:c r="D40" s="2" t="str">
        <x:v>Day 2 09:20:00</x:v>
      </x:c>
      <x:c r="E40" s="2" t="str">
        <x:v>Day 2 12:00:00</x:v>
      </x:c>
      <x:c r="F40" s="31" t="n">
        <x:v>5</x:v>
      </x:c>
      <x:c r="G40" s="31" t="n">
        <x:v>6</x:v>
      </x:c>
      <x:c r="H40" s="31" t="n">
        <x:v>400</x:v>
      </x:c>
      <x:c r="I40" s="31" t="n">
        <x:v>0</x:v>
      </x:c>
      <x:c r="J40" s="31" t="n">
        <x:v>600</x:v>
      </x:c>
      <x:c r="K40" s="47" t="n">
        <x:f>IF(J40="","",I40/J40)</x:f>
        <x:v>0</x:v>
      </x:c>
      <x:c r="L40" s="31" t="n">
        <x:v>25</x:v>
      </x:c>
      <x:c r="M40" s="31" t="n">
        <x:v>65</x:v>
      </x:c>
      <x:c r="N40" s="31" t="n">
        <x:v>65</x:v>
      </x:c>
      <x:c r="O40" s="47" t="n">
        <x:f>IF(N40="","",M40/N40)</x:f>
        <x:v>1</x:v>
      </x:c>
      <x:c r="P40" s="2" t="str">
        <x:v>None</x:v>
      </x:c>
      <x:c r="Q40" s="31" t="n">
        <x:v>120</x:v>
      </x:c>
      <x:c r="R40" s="31" t="n">
        <x:v>120</x:v>
      </x:c>
      <x:c r="S40" s="31" t="n">
        <x:v>0</x:v>
      </x:c>
      <x:c r="T40" s="31" t="n">
        <x:v>7</x:v>
      </x:c>
    </x:row>
    <x:row r="41" ht="22" customHeight="1">
      <x:c r="A41" s="51" t="n">
        <x:v>9</x:v>
      </x:c>
      <x:c r="B41" s="17" t="str">
        <x:v>Tessa</x:v>
      </x:c>
      <x:c r="C41" s="17" t="str">
        <x:v>Terms Spoken Aloud</x:v>
      </x:c>
      <x:c r="D41" s="17" t="str">
        <x:v>Day 2 09:20:00</x:v>
      </x:c>
      <x:c r="E41" s="17" t="str">
        <x:v>Day 2 12:00:00</x:v>
      </x:c>
      <x:c r="F41" s="42" t="n">
        <x:v>7</x:v>
      </x:c>
      <x:c r="G41" s="42" t="n">
        <x:v>7</x:v>
      </x:c>
      <x:c r="H41" s="42" t="n">
        <x:v>300</x:v>
      </x:c>
      <x:c r="I41" s="42" t="n">
        <x:v>400</x:v>
      </x:c>
      <x:c r="J41" s="42" t="n">
        <x:v>700</x:v>
      </x:c>
      <x:c r="K41" s="48" t="n">
        <x:f>IF(J41="","",I41/J41)</x:f>
        <x:v>0.5714285714285714</x:v>
      </x:c>
      <x:c r="L41" s="42" t="n">
        <x:v>60</x:v>
      </x:c>
      <x:c r="M41" s="42" t="n">
        <x:v>70</x:v>
      </x:c>
      <x:c r="N41" s="42" t="n">
        <x:v>70</x:v>
      </x:c>
      <x:c r="O41" s="48" t="n">
        <x:f>IF(N41="","",M41/N41)</x:f>
        <x:v>1</x:v>
      </x:c>
      <x:c r="P41" s="17" t="str">
        <x:v>None</x:v>
      </x:c>
      <x:c r="Q41" s="42"/>
      <x:c r="R41" s="42"/>
      <x:c r="S41" s="42"/>
      <x:c r="T41" s="42" t="n">
        <x:v>7</x:v>
      </x:c>
    </x:row>
    <x:row r="42" ht="22" customHeight="1">
      <x:c r="A42" s="50" t="n">
        <x:v>9</x:v>
      </x:c>
      <x:c r="B42" s="2" t="str">
        <x:v>Owen</x:v>
      </x:c>
      <x:c r="C42" s="2" t="str">
        <x:v>Terms Spoken Aloud</x:v>
      </x:c>
      <x:c r="D42" s="2" t="str">
        <x:v>Day 2 09:20:00</x:v>
      </x:c>
      <x:c r="E42" s="2" t="str">
        <x:v>Day 2 12:00:00</x:v>
      </x:c>
      <x:c r="F42" s="31" t="n">
        <x:v>10</x:v>
      </x:c>
      <x:c r="G42" s="31" t="n">
        <x:v>10</x:v>
      </x:c>
      <x:c r="H42" s="31" t="n">
        <x:v>500</x:v>
      </x:c>
      <x:c r="I42" s="31" t="n">
        <x:v>600</x:v>
      </x:c>
      <x:c r="J42" s="31" t="n">
        <x:v>1000</x:v>
      </x:c>
      <x:c r="K42" s="47" t="n">
        <x:f>IF(J42="","",I42/J42)</x:f>
        <x:v>0.6</x:v>
      </x:c>
      <x:c r="L42" s="31" t="n">
        <x:v>75</x:v>
      </x:c>
      <x:c r="M42" s="31" t="n">
        <x:v>85</x:v>
      </x:c>
      <x:c r="N42" s="31" t="n">
        <x:v>85</x:v>
      </x:c>
      <x:c r="O42" s="47" t="n">
        <x:f>IF(N42="","",M42/N42)</x:f>
        <x:v>1</x:v>
      </x:c>
      <x:c r="P42" s="2" t="str">
        <x:v>None</x:v>
      </x:c>
      <x:c r="Q42" s="31"/>
      <x:c r="R42" s="31"/>
      <x:c r="S42" s="31"/>
      <x:c r="T42" s="31" t="n">
        <x:v>7</x:v>
      </x:c>
    </x:row>
    <x:row r="43" ht="22" customHeight="1">
      <x:c r="A43" s="51" t="n">
        <x:v>9</x:v>
      </x:c>
      <x:c r="B43" s="17" t="str">
        <x:v>Dane</x:v>
      </x:c>
      <x:c r="C43" s="17" t="str">
        <x:v>Terms Spoken Aloud</x:v>
      </x:c>
      <x:c r="D43" s="17" t="str">
        <x:v>Day 2 09:20:00</x:v>
      </x:c>
      <x:c r="E43" s="17" t="str">
        <x:v>Day 2 12:00:00</x:v>
      </x:c>
      <x:c r="F43" s="42" t="n">
        <x:v>10</x:v>
      </x:c>
      <x:c r="G43" s="42" t="n">
        <x:v>10</x:v>
      </x:c>
      <x:c r="H43" s="42" t="n">
        <x:v>500</x:v>
      </x:c>
      <x:c r="I43" s="42" t="n">
        <x:v>600</x:v>
      </x:c>
      <x:c r="J43" s="42" t="n">
        <x:v>1000</x:v>
      </x:c>
      <x:c r="K43" s="48" t="n">
        <x:f>IF(J43="","",I43/J43)</x:f>
        <x:v>0.6</x:v>
      </x:c>
      <x:c r="L43" s="42" t="n">
        <x:v>50</x:v>
      </x:c>
      <x:c r="M43" s="42" t="n">
        <x:v>85</x:v>
      </x:c>
      <x:c r="N43" s="42" t="n">
        <x:v>85</x:v>
      </x:c>
      <x:c r="O43" s="48" t="n">
        <x:f>IF(N43="","",M43/N43)</x:f>
        <x:v>1</x:v>
      </x:c>
      <x:c r="P43" s="17" t="str">
        <x:v>None</x:v>
      </x:c>
      <x:c r="Q43" s="42"/>
      <x:c r="R43" s="42"/>
      <x:c r="S43" s="42"/>
      <x:c r="T43" s="42" t="n">
        <x:v>7</x:v>
      </x:c>
    </x:row>
    <x:row r="44" ht="22" customHeight="1">
      <x:c r="A44" s="50" t="n">
        <x:v>10</x:v>
      </x:c>
      <x:c r="B44" s="2" t="str">
        <x:v>Kip</x:v>
      </x:c>
      <x:c r="C44" s="2" t="str">
        <x:v>The Second Kind of Key</x:v>
      </x:c>
      <x:c r="D44" s="2" t="str">
        <x:v>Day 2 12:00:00</x:v>
      </x:c>
      <x:c r="E44" s="2" t="str">
        <x:v>Day 2 15:00:00</x:v>
      </x:c>
      <x:c r="F44" s="31" t="n">
        <x:v>6</x:v>
      </x:c>
      <x:c r="G44" s="31" t="n">
        <x:v>6</x:v>
      </x:c>
      <x:c r="H44" s="31" t="n">
        <x:v>0</x:v>
      </x:c>
      <x:c r="I44" s="31" t="n">
        <x:v>300</x:v>
      </x:c>
      <x:c r="J44" s="31" t="n">
        <x:v>600</x:v>
      </x:c>
      <x:c r="K44" s="47" t="n">
        <x:f>IF(J44="","",I44/J44)</x:f>
        <x:v>0.5</x:v>
      </x:c>
      <x:c r="L44" s="31" t="n">
        <x:v>65</x:v>
      </x:c>
      <x:c r="M44" s="31" t="n">
        <x:v>65</x:v>
      </x:c>
      <x:c r="N44" s="31" t="n">
        <x:v>65</x:v>
      </x:c>
      <x:c r="O44" s="47" t="n">
        <x:f>IF(N44="","",M44/N44)</x:f>
        <x:v>1</x:v>
      </x:c>
      <x:c r="P44" s="2" t="str">
        <x:v>C</x:v>
      </x:c>
      <x:c r="Q44" s="31" t="n">
        <x:v>120</x:v>
      </x:c>
      <x:c r="R44" s="31" t="n">
        <x:v>120</x:v>
      </x:c>
      <x:c r="S44" s="31" t="n">
        <x:v>0</x:v>
      </x:c>
      <x:c r="T44" s="31" t="n">
        <x:v>7</x:v>
      </x:c>
    </x:row>
    <x:row r="45" ht="22" customHeight="1">
      <x:c r="A45" s="51" t="n">
        <x:v>10</x:v>
      </x:c>
      <x:c r="B45" s="17" t="str">
        <x:v>Tessa</x:v>
      </x:c>
      <x:c r="C45" s="17" t="str">
        <x:v>The Second Kind of Key</x:v>
      </x:c>
      <x:c r="D45" s="17" t="str">
        <x:v>Day 2 12:00:00</x:v>
      </x:c>
      <x:c r="E45" s="17" t="str">
        <x:v>Day 2 15:00:00</x:v>
      </x:c>
      <x:c r="F45" s="42" t="n">
        <x:v>7</x:v>
      </x:c>
      <x:c r="G45" s="42" t="n">
        <x:v>8</x:v>
      </x:c>
      <x:c r="H45" s="42" t="n">
        <x:v>400</x:v>
      </x:c>
      <x:c r="I45" s="42" t="n">
        <x:v>0</x:v>
      </x:c>
      <x:c r="J45" s="42" t="n">
        <x:v>800</x:v>
      </x:c>
      <x:c r="K45" s="48" t="n">
        <x:f>IF(J45="","",I45/J45)</x:f>
        <x:v>0</x:v>
      </x:c>
      <x:c r="L45" s="42" t="n">
        <x:v>70</x:v>
      </x:c>
      <x:c r="M45" s="42" t="n">
        <x:v>75</x:v>
      </x:c>
      <x:c r="N45" s="42" t="n">
        <x:v>75</x:v>
      </x:c>
      <x:c r="O45" s="48" t="n">
        <x:f>IF(N45="","",M45/N45)</x:f>
        <x:v>1</x:v>
      </x:c>
      <x:c r="P45" s="17" t="str">
        <x:v>C</x:v>
      </x:c>
      <x:c r="Q45" s="42"/>
      <x:c r="R45" s="42"/>
      <x:c r="S45" s="42"/>
      <x:c r="T45" s="42" t="n">
        <x:v>7</x:v>
      </x:c>
    </x:row>
    <x:row r="46" ht="22" customHeight="1">
      <x:c r="A46" s="50" t="n">
        <x:v>10</x:v>
      </x:c>
      <x:c r="B46" s="2" t="str">
        <x:v>Owen</x:v>
      </x:c>
      <x:c r="C46" s="2" t="str">
        <x:v>The Second Kind of Key</x:v>
      </x:c>
      <x:c r="D46" s="2" t="str">
        <x:v>Day 2 12:00:00</x:v>
      </x:c>
      <x:c r="E46" s="2" t="str">
        <x:v>Day 2 15:00:00</x:v>
      </x:c>
      <x:c r="F46" s="31" t="n">
        <x:v>10</x:v>
      </x:c>
      <x:c r="G46" s="31" t="n">
        <x:v>10</x:v>
      </x:c>
      <x:c r="H46" s="31" t="n">
        <x:v>600</x:v>
      </x:c>
      <x:c r="I46" s="31" t="n">
        <x:v>900</x:v>
      </x:c>
      <x:c r="J46" s="31" t="n">
        <x:v>1000</x:v>
      </x:c>
      <x:c r="K46" s="47" t="n">
        <x:f>IF(J46="","",I46/J46)</x:f>
        <x:v>0.9</x:v>
      </x:c>
      <x:c r="L46" s="31" t="n">
        <x:v>85</x:v>
      </x:c>
      <x:c r="M46" s="31" t="n">
        <x:v>85</x:v>
      </x:c>
      <x:c r="N46" s="31" t="n">
        <x:v>85</x:v>
      </x:c>
      <x:c r="O46" s="47" t="n">
        <x:f>IF(N46="","",M46/N46)</x:f>
        <x:v>1</x:v>
      </x:c>
      <x:c r="P46" s="2" t="str">
        <x:v>C</x:v>
      </x:c>
      <x:c r="Q46" s="31"/>
      <x:c r="R46" s="31"/>
      <x:c r="S46" s="31"/>
      <x:c r="T46" s="31" t="n">
        <x:v>7</x:v>
      </x:c>
    </x:row>
    <x:row r="47" ht="22" customHeight="1">
      <x:c r="A47" s="51" t="n">
        <x:v>10</x:v>
      </x:c>
      <x:c r="B47" s="17" t="str">
        <x:v>Dane</x:v>
      </x:c>
      <x:c r="C47" s="17" t="str">
        <x:v>The Second Kind of Key</x:v>
      </x:c>
      <x:c r="D47" s="17" t="str">
        <x:v>Day 2 12:00:00</x:v>
      </x:c>
      <x:c r="E47" s="17" t="str">
        <x:v>Day 2 15:00:00</x:v>
      </x:c>
      <x:c r="F47" s="42" t="n">
        <x:v>10</x:v>
      </x:c>
      <x:c r="G47" s="42" t="n">
        <x:v>10</x:v>
      </x:c>
      <x:c r="H47" s="42" t="n">
        <x:v>600</x:v>
      </x:c>
      <x:c r="I47" s="42" t="n">
        <x:v>900</x:v>
      </x:c>
      <x:c r="J47" s="42" t="n">
        <x:v>1000</x:v>
      </x:c>
      <x:c r="K47" s="48" t="n">
        <x:f>IF(J47="","",I47/J47)</x:f>
        <x:v>0.9</x:v>
      </x:c>
      <x:c r="L47" s="42" t="n">
        <x:v>85</x:v>
      </x:c>
      <x:c r="M47" s="42" t="n">
        <x:v>85</x:v>
      </x:c>
      <x:c r="N47" s="42" t="n">
        <x:v>85</x:v>
      </x:c>
      <x:c r="O47" s="48" t="n">
        <x:f>IF(N47="","",M47/N47)</x:f>
        <x:v>1</x:v>
      </x:c>
      <x:c r="P47" s="17" t="str">
        <x:v>C</x:v>
      </x:c>
      <x:c r="Q47" s="42"/>
      <x:c r="R47" s="42"/>
      <x:c r="S47" s="42"/>
      <x:c r="T47" s="42" t="n">
        <x:v>7</x:v>
      </x:c>
    </x:row>
    <x:row r="48" ht="22" customHeight="1">
      <x:c r="A48" s="50" t="n">
        <x:v>11</x:v>
      </x:c>
      <x:c r="B48" s="2" t="str">
        <x:v>Kip</x:v>
      </x:c>
      <x:c r="C48" s="2" t="str">
        <x:v>Two Places to Protect</x:v>
      </x:c>
      <x:c r="D48" s="2" t="str">
        <x:v>Day 2 15:00:00</x:v>
      </x:c>
      <x:c r="E48" s="2" t="str">
        <x:v>Day 2 16:00:00</x:v>
      </x:c>
      <x:c r="F48" s="31" t="n">
        <x:v>6</x:v>
      </x:c>
      <x:c r="G48" s="31" t="n">
        <x:v>7</x:v>
      </x:c>
      <x:c r="H48" s="31" t="n">
        <x:v>300</x:v>
      </x:c>
      <x:c r="I48" s="31" t="n">
        <x:v>0</x:v>
      </x:c>
      <x:c r="J48" s="31" t="n">
        <x:v>700</x:v>
      </x:c>
      <x:c r="K48" s="47" t="n">
        <x:f>IF(J48="","",I48/J48)</x:f>
        <x:v>0</x:v>
      </x:c>
      <x:c r="L48" s="31" t="n">
        <x:v>65</x:v>
      </x:c>
      <x:c r="M48" s="31" t="n">
        <x:v>70</x:v>
      </x:c>
      <x:c r="N48" s="31" t="n">
        <x:v>70</x:v>
      </x:c>
      <x:c r="O48" s="47" t="n">
        <x:f>IF(N48="","",M48/N48)</x:f>
        <x:v>1</x:v>
      </x:c>
      <x:c r="P48" s="2" t="str">
        <x:v>C, D</x:v>
      </x:c>
      <x:c r="Q48" s="31" t="n">
        <x:v>120</x:v>
      </x:c>
      <x:c r="R48" s="31" t="n">
        <x:v>120</x:v>
      </x:c>
      <x:c r="S48" s="31" t="n">
        <x:v>0</x:v>
      </x:c>
      <x:c r="T48" s="31" t="n">
        <x:v>7</x:v>
      </x:c>
    </x:row>
    <x:row r="49" ht="22" customHeight="1">
      <x:c r="A49" s="51" t="n">
        <x:v>11</x:v>
      </x:c>
      <x:c r="B49" s="17" t="str">
        <x:v>Tessa</x:v>
      </x:c>
      <x:c r="C49" s="17" t="str">
        <x:v>Two Places to Protect</x:v>
      </x:c>
      <x:c r="D49" s="17" t="str">
        <x:v>Day 2 15:00:00</x:v>
      </x:c>
      <x:c r="E49" s="17" t="str">
        <x:v>Day 2 16:00:00</x:v>
      </x:c>
      <x:c r="F49" s="42" t="n">
        <x:v>8</x:v>
      </x:c>
      <x:c r="G49" s="42" t="n">
        <x:v>8</x:v>
      </x:c>
      <x:c r="H49" s="42" t="n">
        <x:v>0</x:v>
      </x:c>
      <x:c r="I49" s="42" t="n">
        <x:v>300</x:v>
      </x:c>
      <x:c r="J49" s="42" t="n">
        <x:v>800</x:v>
      </x:c>
      <x:c r="K49" s="48" t="n">
        <x:f>IF(J49="","",I49/J49)</x:f>
        <x:v>0.375</x:v>
      </x:c>
      <x:c r="L49" s="42" t="n">
        <x:v>75</x:v>
      </x:c>
      <x:c r="M49" s="42" t="n">
        <x:v>75</x:v>
      </x:c>
      <x:c r="N49" s="42" t="n">
        <x:v>75</x:v>
      </x:c>
      <x:c r="O49" s="48" t="n">
        <x:f>IF(N49="","",M49/N49)</x:f>
        <x:v>1</x:v>
      </x:c>
      <x:c r="P49" s="17" t="str">
        <x:v>C, D</x:v>
      </x:c>
      <x:c r="Q49" s="42"/>
      <x:c r="R49" s="42"/>
      <x:c r="S49" s="42"/>
      <x:c r="T49" s="42" t="n">
        <x:v>7</x:v>
      </x:c>
    </x:row>
    <x:row r="50" ht="22" customHeight="1">
      <x:c r="A50" s="50" t="n">
        <x:v>11</x:v>
      </x:c>
      <x:c r="B50" s="2" t="str">
        <x:v>Owen</x:v>
      </x:c>
      <x:c r="C50" s="2" t="str">
        <x:v>Two Places to Protect</x:v>
      </x:c>
      <x:c r="D50" s="2" t="str">
        <x:v>Day 2 15:00:00</x:v>
      </x:c>
      <x:c r="E50" s="2" t="str">
        <x:v>Day 2 16:00:00</x:v>
      </x:c>
      <x:c r="F50" s="31" t="n">
        <x:v>10</x:v>
      </x:c>
      <x:c r="G50" s="31" t="n">
        <x:v>11</x:v>
      </x:c>
      <x:c r="H50" s="31" t="n">
        <x:v>900</x:v>
      </x:c>
      <x:c r="I50" s="31" t="n">
        <x:v>200</x:v>
      </x:c>
      <x:c r="J50" s="31" t="n">
        <x:v>1100</x:v>
      </x:c>
      <x:c r="K50" s="47" t="n">
        <x:f>IF(J50="","",I50/J50)</x:f>
        <x:v>0.18181818181818182</x:v>
      </x:c>
      <x:c r="L50" s="31" t="n">
        <x:v>85</x:v>
      </x:c>
      <x:c r="M50" s="31" t="n">
        <x:v>90</x:v>
      </x:c>
      <x:c r="N50" s="31" t="n">
        <x:v>90</x:v>
      </x:c>
      <x:c r="O50" s="47" t="n">
        <x:f>IF(N50="","",M50/N50)</x:f>
        <x:v>1</x:v>
      </x:c>
      <x:c r="P50" s="2" t="str">
        <x:v>C, D</x:v>
      </x:c>
      <x:c r="Q50" s="31"/>
      <x:c r="R50" s="31"/>
      <x:c r="S50" s="31"/>
      <x:c r="T50" s="31" t="n">
        <x:v>7</x:v>
      </x:c>
    </x:row>
    <x:row r="51" ht="22" customHeight="1">
      <x:c r="A51" s="51" t="n">
        <x:v>11</x:v>
      </x:c>
      <x:c r="B51" s="17" t="str">
        <x:v>Dane</x:v>
      </x:c>
      <x:c r="C51" s="17" t="str">
        <x:v>Two Places to Protect</x:v>
      </x:c>
      <x:c r="D51" s="17" t="str">
        <x:v>Day 2 15:00:00</x:v>
      </x:c>
      <x:c r="E51" s="17" t="str">
        <x:v>Day 2 16:00:00</x:v>
      </x:c>
      <x:c r="F51" s="42" t="n">
        <x:v>10</x:v>
      </x:c>
      <x:c r="G51" s="42" t="n">
        <x:v>11</x:v>
      </x:c>
      <x:c r="H51" s="42" t="n">
        <x:v>900</x:v>
      </x:c>
      <x:c r="I51" s="42" t="n">
        <x:v>200</x:v>
      </x:c>
      <x:c r="J51" s="42" t="n">
        <x:v>1100</x:v>
      </x:c>
      <x:c r="K51" s="48" t="n">
        <x:f>IF(J51="","",I51/J51)</x:f>
        <x:v>0.18181818181818182</x:v>
      </x:c>
      <x:c r="L51" s="42" t="n">
        <x:v>85</x:v>
      </x:c>
      <x:c r="M51" s="42" t="n">
        <x:v>90</x:v>
      </x:c>
      <x:c r="N51" s="42" t="n">
        <x:v>90</x:v>
      </x:c>
      <x:c r="O51" s="48" t="n">
        <x:f>IF(N51="","",M51/N51)</x:f>
        <x:v>1</x:v>
      </x:c>
      <x:c r="P51" s="17" t="str">
        <x:v>C, D</x:v>
      </x:c>
      <x:c r="Q51" s="42"/>
      <x:c r="R51" s="42"/>
      <x:c r="S51" s="42"/>
      <x:c r="T51" s="42" t="n">
        <x:v>7</x:v>
      </x:c>
    </x:row>
    <x:row r="52" ht="22" customHeight="1">
      <x:c r="A52" s="50" t="n">
        <x:v>12</x:v>
      </x:c>
      <x:c r="B52" s="2" t="str">
        <x:v>Kip</x:v>
      </x:c>
      <x:c r="C52" s="2" t="str">
        <x:v>The Man in the Machinery</x:v>
      </x:c>
      <x:c r="D52" s="2" t="str">
        <x:v>Day 2 16:00:00</x:v>
      </x:c>
      <x:c r="E52" s="2" t="str">
        <x:v>Day 2 19:00:00</x:v>
      </x:c>
      <x:c r="F52" s="31" t="n">
        <x:v>7</x:v>
      </x:c>
      <x:c r="G52" s="31" t="n">
        <x:v>7</x:v>
      </x:c>
      <x:c r="H52" s="31" t="n">
        <x:v>0</x:v>
      </x:c>
      <x:c r="I52" s="31" t="n">
        <x:v>300</x:v>
      </x:c>
      <x:c r="J52" s="31" t="n">
        <x:v>700</x:v>
      </x:c>
      <x:c r="K52" s="47" t="n">
        <x:f>IF(J52="","",I52/J52)</x:f>
        <x:v>0.42857142857142855</x:v>
      </x:c>
      <x:c r="L52" s="31" t="n">
        <x:v>70</x:v>
      </x:c>
      <x:c r="M52" s="31" t="n">
        <x:v>35</x:v>
      </x:c>
      <x:c r="N52" s="31" t="n">
        <x:v>70</x:v>
      </x:c>
      <x:c r="O52" s="47" t="n">
        <x:f>IF(N52="","",M52/N52)</x:f>
        <x:v>0.5</x:v>
      </x:c>
      <x:c r="P52" s="2" t="str">
        <x:v>C, D</x:v>
      </x:c>
      <x:c r="Q52" s="31" t="n">
        <x:v>120</x:v>
      </x:c>
      <x:c r="R52" s="31" t="n">
        <x:v>120</x:v>
      </x:c>
      <x:c r="S52" s="31" t="n">
        <x:v>0</x:v>
      </x:c>
      <x:c r="T52" s="31" t="n">
        <x:v>7</x:v>
      </x:c>
    </x:row>
    <x:row r="53" ht="22" customHeight="1">
      <x:c r="A53" s="51" t="n">
        <x:v>12</x:v>
      </x:c>
      <x:c r="B53" s="17" t="str">
        <x:v>Tessa</x:v>
      </x:c>
      <x:c r="C53" s="17" t="str">
        <x:v>The Man in the Machinery</x:v>
      </x:c>
      <x:c r="D53" s="17" t="str">
        <x:v>Day 2 16:00:00</x:v>
      </x:c>
      <x:c r="E53" s="17" t="str">
        <x:v>Day 2 19:00:00</x:v>
      </x:c>
      <x:c r="F53" s="42" t="n">
        <x:v>8</x:v>
      </x:c>
      <x:c r="G53" s="42" t="n">
        <x:v>8</x:v>
      </x:c>
      <x:c r="H53" s="42" t="n">
        <x:v>300</x:v>
      </x:c>
      <x:c r="I53" s="42" t="n">
        <x:v>600</x:v>
      </x:c>
      <x:c r="J53" s="42" t="n">
        <x:v>800</x:v>
      </x:c>
      <x:c r="K53" s="48" t="n">
        <x:f>IF(J53="","",I53/J53)</x:f>
        <x:v>0.75</x:v>
      </x:c>
      <x:c r="L53" s="42" t="n">
        <x:v>75</x:v>
      </x:c>
      <x:c r="M53" s="42" t="n">
        <x:v>50</x:v>
      </x:c>
      <x:c r="N53" s="42" t="n">
        <x:v>75</x:v>
      </x:c>
      <x:c r="O53" s="48" t="n">
        <x:f>IF(N53="","",M53/N53)</x:f>
        <x:v>0.6666666666666666</x:v>
      </x:c>
      <x:c r="P53" s="17" t="str">
        <x:v>C, D</x:v>
      </x:c>
      <x:c r="Q53" s="42"/>
      <x:c r="R53" s="42"/>
      <x:c r="S53" s="42"/>
      <x:c r="T53" s="42" t="n">
        <x:v>7</x:v>
      </x:c>
    </x:row>
    <x:row r="54" ht="22" customHeight="1">
      <x:c r="A54" s="50" t="n">
        <x:v>12</x:v>
      </x:c>
      <x:c r="B54" s="2" t="str">
        <x:v>Owen</x:v>
      </x:c>
      <x:c r="C54" s="2" t="str">
        <x:v>The Man in the Machinery</x:v>
      </x:c>
      <x:c r="D54" s="2" t="str">
        <x:v>Day 2 16:00:00</x:v>
      </x:c>
      <x:c r="E54" s="2" t="str">
        <x:v>Day 2 19:00:00</x:v>
      </x:c>
      <x:c r="F54" s="31" t="n">
        <x:v>11</x:v>
      </x:c>
      <x:c r="G54" s="31" t="n">
        <x:v>11</x:v>
      </x:c>
      <x:c r="H54" s="31" t="n">
        <x:v>200</x:v>
      </x:c>
      <x:c r="I54" s="31" t="n">
        <x:v>500</x:v>
      </x:c>
      <x:c r="J54" s="31" t="n">
        <x:v>1100</x:v>
      </x:c>
      <x:c r="K54" s="47" t="n">
        <x:f>IF(J54="","",I54/J54)</x:f>
        <x:v>0.45454545454545453</x:v>
      </x:c>
      <x:c r="L54" s="31" t="n">
        <x:v>90</x:v>
      </x:c>
      <x:c r="M54" s="31" t="n">
        <x:v>90</x:v>
      </x:c>
      <x:c r="N54" s="31" t="n">
        <x:v>90</x:v>
      </x:c>
      <x:c r="O54" s="47" t="n">
        <x:f>IF(N54="","",M54/N54)</x:f>
        <x:v>1</x:v>
      </x:c>
      <x:c r="P54" s="2" t="str">
        <x:v>C, D</x:v>
      </x:c>
      <x:c r="Q54" s="31"/>
      <x:c r="R54" s="31"/>
      <x:c r="S54" s="31"/>
      <x:c r="T54" s="31" t="n">
        <x:v>7</x:v>
      </x:c>
    </x:row>
    <x:row r="55" ht="22" customHeight="1">
      <x:c r="A55" s="51" t="n">
        <x:v>12</x:v>
      </x:c>
      <x:c r="B55" s="17" t="str">
        <x:v>Dane</x:v>
      </x:c>
      <x:c r="C55" s="17" t="str">
        <x:v>The Man in the Machinery</x:v>
      </x:c>
      <x:c r="D55" s="17" t="str">
        <x:v>Day 2 16:00:00</x:v>
      </x:c>
      <x:c r="E55" s="17" t="str">
        <x:v>Day 2 19:00:00</x:v>
      </x:c>
      <x:c r="F55" s="42" t="n">
        <x:v>11</x:v>
      </x:c>
      <x:c r="G55" s="42" t="n">
        <x:v>11</x:v>
      </x:c>
      <x:c r="H55" s="42" t="n">
        <x:v>200</x:v>
      </x:c>
      <x:c r="I55" s="42" t="n">
        <x:v>500</x:v>
      </x:c>
      <x:c r="J55" s="42" t="n">
        <x:v>1100</x:v>
      </x:c>
      <x:c r="K55" s="48" t="n">
        <x:f>IF(J55="","",I55/J55)</x:f>
        <x:v>0.45454545454545453</x:v>
      </x:c>
      <x:c r="L55" s="42" t="n">
        <x:v>90</x:v>
      </x:c>
      <x:c r="M55" s="42" t="n">
        <x:v>55</x:v>
      </x:c>
      <x:c r="N55" s="42" t="n">
        <x:v>90</x:v>
      </x:c>
      <x:c r="O55" s="48" t="n">
        <x:f>IF(N55="","",M55/N55)</x:f>
        <x:v>0.6111111111111112</x:v>
      </x:c>
      <x:c r="P55" s="17" t="str">
        <x:v>C, D</x:v>
      </x:c>
      <x:c r="Q55" s="42"/>
      <x:c r="R55" s="42"/>
      <x:c r="S55" s="42"/>
      <x:c r="T55" s="42" t="n">
        <x:v>7</x:v>
      </x:c>
    </x:row>
    <x:row r="56" ht="22" customHeight="1">
      <x:c r="A56" s="50" t="n">
        <x:v>13</x:v>
      </x:c>
      <x:c r="B56" s="2" t="str">
        <x:v>Kip</x:v>
      </x:c>
      <x:c r="C56" s="2" t="str">
        <x:v>No Ones Permission to Sell</x:v>
      </x:c>
      <x:c r="D56" s="2" t="str">
        <x:v>Day 2 19:00:00</x:v>
      </x:c>
      <x:c r="E56" s="2" t="str">
        <x:v>Day 3 07:00:00</x:v>
      </x:c>
      <x:c r="F56" s="31" t="n">
        <x:v>7</x:v>
      </x:c>
      <x:c r="G56" s="31" t="n">
        <x:v>7</x:v>
      </x:c>
      <x:c r="H56" s="31" t="n">
        <x:v>300</x:v>
      </x:c>
      <x:c r="I56" s="31" t="n">
        <x:v>300</x:v>
      </x:c>
      <x:c r="J56" s="31" t="n">
        <x:v>700</x:v>
      </x:c>
      <x:c r="K56" s="47" t="n">
        <x:f>IF(J56="","",I56/J56)</x:f>
        <x:v>0.42857142857142855</x:v>
      </x:c>
      <x:c r="L56" s="31" t="n">
        <x:v>35</x:v>
      </x:c>
      <x:c r="M56" s="31" t="n">
        <x:v>70</x:v>
      </x:c>
      <x:c r="N56" s="31" t="n">
        <x:v>70</x:v>
      </x:c>
      <x:c r="O56" s="47" t="n">
        <x:f>IF(N56="","",M56/N56)</x:f>
        <x:v>1</x:v>
      </x:c>
      <x:c r="P56" s="2" t="str">
        <x:v>C, D</x:v>
      </x:c>
      <x:c r="Q56" s="31" t="n">
        <x:v>120</x:v>
      </x:c>
      <x:c r="R56" s="31" t="n">
        <x:v>120</x:v>
      </x:c>
      <x:c r="S56" s="31" t="n">
        <x:v>90</x:v>
      </x:c>
      <x:c r="T56" s="31" t="n">
        <x:v>7</x:v>
      </x:c>
    </x:row>
    <x:row r="57" ht="22" customHeight="1">
      <x:c r="A57" s="51" t="n">
        <x:v>13</x:v>
      </x:c>
      <x:c r="B57" s="17" t="str">
        <x:v>Tessa</x:v>
      </x:c>
      <x:c r="C57" s="17" t="str">
        <x:v>No Ones Permission to Sell</x:v>
      </x:c>
      <x:c r="D57" s="17" t="str">
        <x:v>Day 2 19:00:00</x:v>
      </x:c>
      <x:c r="E57" s="17" t="str">
        <x:v>Day 3 07:00:00</x:v>
      </x:c>
      <x:c r="F57" s="42" t="n">
        <x:v>8</x:v>
      </x:c>
      <x:c r="G57" s="42" t="n">
        <x:v>8</x:v>
      </x:c>
      <x:c r="H57" s="42" t="n">
        <x:v>600</x:v>
      </x:c>
      <x:c r="I57" s="42" t="n">
        <x:v>600</x:v>
      </x:c>
      <x:c r="J57" s="42" t="n">
        <x:v>800</x:v>
      </x:c>
      <x:c r="K57" s="48" t="n">
        <x:f>IF(J57="","",I57/J57)</x:f>
        <x:v>0.75</x:v>
      </x:c>
      <x:c r="L57" s="42" t="n">
        <x:v>50</x:v>
      </x:c>
      <x:c r="M57" s="42" t="n">
        <x:v>75</x:v>
      </x:c>
      <x:c r="N57" s="42" t="n">
        <x:v>75</x:v>
      </x:c>
      <x:c r="O57" s="48" t="n">
        <x:f>IF(N57="","",M57/N57)</x:f>
        <x:v>1</x:v>
      </x:c>
      <x:c r="P57" s="17" t="str">
        <x:v>C, D</x:v>
      </x:c>
      <x:c r="Q57" s="42"/>
      <x:c r="R57" s="42"/>
      <x:c r="S57" s="42"/>
      <x:c r="T57" s="42" t="n">
        <x:v>7</x:v>
      </x:c>
    </x:row>
    <x:row r="58" ht="22" customHeight="1">
      <x:c r="A58" s="50" t="n">
        <x:v>13</x:v>
      </x:c>
      <x:c r="B58" s="2" t="str">
        <x:v>Owen</x:v>
      </x:c>
      <x:c r="C58" s="2" t="str">
        <x:v>No Ones Permission to Sell</x:v>
      </x:c>
      <x:c r="D58" s="2" t="str">
        <x:v>Day 2 19:00:00</x:v>
      </x:c>
      <x:c r="E58" s="2" t="str">
        <x:v>Day 3 07:00:00</x:v>
      </x:c>
      <x:c r="F58" s="31" t="n">
        <x:v>11</x:v>
      </x:c>
      <x:c r="G58" s="31" t="n">
        <x:v>11</x:v>
      </x:c>
      <x:c r="H58" s="31" t="n">
        <x:v>500</x:v>
      </x:c>
      <x:c r="I58" s="31" t="n">
        <x:v>500</x:v>
      </x:c>
      <x:c r="J58" s="31" t="n">
        <x:v>1100</x:v>
      </x:c>
      <x:c r="K58" s="47" t="n">
        <x:f>IF(J58="","",I58/J58)</x:f>
        <x:v>0.45454545454545453</x:v>
      </x:c>
      <x:c r="L58" s="31" t="n">
        <x:v>90</x:v>
      </x:c>
      <x:c r="M58" s="31" t="n">
        <x:v>90</x:v>
      </x:c>
      <x:c r="N58" s="31" t="n">
        <x:v>90</x:v>
      </x:c>
      <x:c r="O58" s="47" t="n">
        <x:f>IF(N58="","",M58/N58)</x:f>
        <x:v>1</x:v>
      </x:c>
      <x:c r="P58" s="2" t="str">
        <x:v>C, D</x:v>
      </x:c>
      <x:c r="Q58" s="31"/>
      <x:c r="R58" s="31"/>
      <x:c r="S58" s="31"/>
      <x:c r="T58" s="31" t="n">
        <x:v>7</x:v>
      </x:c>
    </x:row>
    <x:row r="59" ht="22" customHeight="1">
      <x:c r="A59" s="51" t="n">
        <x:v>13</x:v>
      </x:c>
      <x:c r="B59" s="17" t="str">
        <x:v>Dane</x:v>
      </x:c>
      <x:c r="C59" s="17" t="str">
        <x:v>No Ones Permission to Sell</x:v>
      </x:c>
      <x:c r="D59" s="17" t="str">
        <x:v>Day 2 19:00:00</x:v>
      </x:c>
      <x:c r="E59" s="17" t="str">
        <x:v>Day 3 07:00:00</x:v>
      </x:c>
      <x:c r="F59" s="42" t="n">
        <x:v>11</x:v>
      </x:c>
      <x:c r="G59" s="42" t="n">
        <x:v>11</x:v>
      </x:c>
      <x:c r="H59" s="42" t="n">
        <x:v>500</x:v>
      </x:c>
      <x:c r="I59" s="42" t="n">
        <x:v>500</x:v>
      </x:c>
      <x:c r="J59" s="42" t="n">
        <x:v>1100</x:v>
      </x:c>
      <x:c r="K59" s="48" t="n">
        <x:f>IF(J59="","",I59/J59)</x:f>
        <x:v>0.45454545454545453</x:v>
      </x:c>
      <x:c r="L59" s="42" t="n">
        <x:v>55</x:v>
      </x:c>
      <x:c r="M59" s="42" t="n">
        <x:v>90</x:v>
      </x:c>
      <x:c r="N59" s="42" t="n">
        <x:v>90</x:v>
      </x:c>
      <x:c r="O59" s="48" t="n">
        <x:f>IF(N59="","",M59/N59)</x:f>
        <x:v>1</x:v>
      </x:c>
      <x:c r="P59" s="17" t="str">
        <x:v>C, D</x:v>
      </x:c>
      <x:c r="Q59" s="42"/>
      <x:c r="R59" s="42"/>
      <x:c r="S59" s="42"/>
      <x:c r="T59" s="42" t="n">
        <x:v>7</x:v>
      </x:c>
    </x:row>
    <x:row r="60" ht="22" customHeight="1">
      <x:c r="A60" s="50" t="n">
        <x:v>14</x:v>
      </x:c>
      <x:c r="B60" s="2" t="str">
        <x:v>Kip</x:v>
      </x:c>
      <x:c r="C60" s="2" t="str">
        <x:v>Those Left in the Dark</x:v>
      </x:c>
      <x:c r="D60" s="2" t="str">
        <x:v>Day 3 07:00:00</x:v>
      </x:c>
      <x:c r="E60" s="2" t="str">
        <x:v>Day 3 10:00:00</x:v>
      </x:c>
      <x:c r="F60" s="31" t="n">
        <x:v>7</x:v>
      </x:c>
      <x:c r="G60" s="31" t="n">
        <x:v>7</x:v>
      </x:c>
      <x:c r="H60" s="31" t="n">
        <x:v>300</x:v>
      </x:c>
      <x:c r="I60" s="31" t="n">
        <x:v>600</x:v>
      </x:c>
      <x:c r="J60" s="31" t="n">
        <x:v>700</x:v>
      </x:c>
      <x:c r="K60" s="47" t="n">
        <x:f>IF(J60="","",I60/J60)</x:f>
        <x:v>0.8571428571428571</x:v>
      </x:c>
      <x:c r="L60" s="31" t="n">
        <x:v>70</x:v>
      </x:c>
      <x:c r="M60" s="31" t="n">
        <x:v>70</x:v>
      </x:c>
      <x:c r="N60" s="31" t="n">
        <x:v>70</x:v>
      </x:c>
      <x:c r="O60" s="47" t="n">
        <x:f>IF(N60="","",M60/N60)</x:f>
        <x:v>1</x:v>
      </x:c>
      <x:c r="P60" s="2" t="str">
        <x:v>C, D</x:v>
      </x:c>
      <x:c r="Q60" s="31" t="n">
        <x:v>120</x:v>
      </x:c>
      <x:c r="R60" s="31" t="n">
        <x:v>120</x:v>
      </x:c>
      <x:c r="S60" s="31" t="n">
        <x:v>90</x:v>
      </x:c>
      <x:c r="T60" s="31" t="n">
        <x:v>9</x:v>
      </x:c>
    </x:row>
    <x:row r="61" ht="22" customHeight="1">
      <x:c r="A61" s="51" t="n">
        <x:v>14</x:v>
      </x:c>
      <x:c r="B61" s="17" t="str">
        <x:v>Tessa</x:v>
      </x:c>
      <x:c r="C61" s="17" t="str">
        <x:v>Those Left in the Dark</x:v>
      </x:c>
      <x:c r="D61" s="17" t="str">
        <x:v>Day 3 07:00:00</x:v>
      </x:c>
      <x:c r="E61" s="17" t="str">
        <x:v>Day 3 10:00:00</x:v>
      </x:c>
      <x:c r="F61" s="42" t="n">
        <x:v>8</x:v>
      </x:c>
      <x:c r="G61" s="42" t="n">
        <x:v>9</x:v>
      </x:c>
      <x:c r="H61" s="42" t="n">
        <x:v>600</x:v>
      </x:c>
      <x:c r="I61" s="42" t="n">
        <x:v>100</x:v>
      </x:c>
      <x:c r="J61" s="42" t="n">
        <x:v>900</x:v>
      </x:c>
      <x:c r="K61" s="48" t="n">
        <x:f>IF(J61="","",I61/J61)</x:f>
        <x:v>0.1111111111111111</x:v>
      </x:c>
      <x:c r="L61" s="42" t="n">
        <x:v>75</x:v>
      </x:c>
      <x:c r="M61" s="42" t="n">
        <x:v>80</x:v>
      </x:c>
      <x:c r="N61" s="42" t="n">
        <x:v>80</x:v>
      </x:c>
      <x:c r="O61" s="48" t="n">
        <x:f>IF(N61="","",M61/N61)</x:f>
        <x:v>1</x:v>
      </x:c>
      <x:c r="P61" s="17" t="str">
        <x:v>C, D</x:v>
      </x:c>
      <x:c r="Q61" s="42"/>
      <x:c r="R61" s="42"/>
      <x:c r="S61" s="42"/>
      <x:c r="T61" s="42" t="n">
        <x:v>9</x:v>
      </x:c>
    </x:row>
    <x:row r="62" ht="22" customHeight="1">
      <x:c r="A62" s="50" t="n">
        <x:v>14</x:v>
      </x:c>
      <x:c r="B62" s="2" t="str">
        <x:v>Owen</x:v>
      </x:c>
      <x:c r="C62" s="2" t="str">
        <x:v>Those Left in the Dark</x:v>
      </x:c>
      <x:c r="D62" s="2" t="str">
        <x:v>Day 3 07:00:00</x:v>
      </x:c>
      <x:c r="E62" s="2" t="str">
        <x:v>Day 3 10:00:00</x:v>
      </x:c>
      <x:c r="F62" s="31" t="n">
        <x:v>11</x:v>
      </x:c>
      <x:c r="G62" s="31" t="n">
        <x:v>11</x:v>
      </x:c>
      <x:c r="H62" s="31" t="n">
        <x:v>500</x:v>
      </x:c>
      <x:c r="I62" s="31" t="n">
        <x:v>800</x:v>
      </x:c>
      <x:c r="J62" s="31" t="n">
        <x:v>1100</x:v>
      </x:c>
      <x:c r="K62" s="47" t="n">
        <x:f>IF(J62="","",I62/J62)</x:f>
        <x:v>0.7272727272727273</x:v>
      </x:c>
      <x:c r="L62" s="31" t="n">
        <x:v>90</x:v>
      </x:c>
      <x:c r="M62" s="31" t="n">
        <x:v>90</x:v>
      </x:c>
      <x:c r="N62" s="31" t="n">
        <x:v>90</x:v>
      </x:c>
      <x:c r="O62" s="47" t="n">
        <x:f>IF(N62="","",M62/N62)</x:f>
        <x:v>1</x:v>
      </x:c>
      <x:c r="P62" s="2" t="str">
        <x:v>C, D</x:v>
      </x:c>
      <x:c r="Q62" s="31"/>
      <x:c r="R62" s="31"/>
      <x:c r="S62" s="31"/>
      <x:c r="T62" s="31" t="n">
        <x:v>9</x:v>
      </x:c>
    </x:row>
    <x:row r="63" ht="22" customHeight="1">
      <x:c r="A63" s="51" t="n">
        <x:v>14</x:v>
      </x:c>
      <x:c r="B63" s="17" t="str">
        <x:v>Dane</x:v>
      </x:c>
      <x:c r="C63" s="17" t="str">
        <x:v>Those Left in the Dark</x:v>
      </x:c>
      <x:c r="D63" s="17" t="str">
        <x:v>Day 3 07:00:00</x:v>
      </x:c>
      <x:c r="E63" s="17" t="str">
        <x:v>Day 3 10:00:00</x:v>
      </x:c>
      <x:c r="F63" s="42" t="n">
        <x:v>11</x:v>
      </x:c>
      <x:c r="G63" s="42" t="n">
        <x:v>11</x:v>
      </x:c>
      <x:c r="H63" s="42" t="n">
        <x:v>500</x:v>
      </x:c>
      <x:c r="I63" s="42" t="n">
        <x:v>800</x:v>
      </x:c>
      <x:c r="J63" s="42" t="n">
        <x:v>1100</x:v>
      </x:c>
      <x:c r="K63" s="48" t="n">
        <x:f>IF(J63="","",I63/J63)</x:f>
        <x:v>0.7272727272727273</x:v>
      </x:c>
      <x:c r="L63" s="42" t="n">
        <x:v>90</x:v>
      </x:c>
      <x:c r="M63" s="42" t="n">
        <x:v>90</x:v>
      </x:c>
      <x:c r="N63" s="42" t="n">
        <x:v>90</x:v>
      </x:c>
      <x:c r="O63" s="48" t="n">
        <x:f>IF(N63="","",M63/N63)</x:f>
        <x:v>1</x:v>
      </x:c>
      <x:c r="P63" s="17" t="str">
        <x:v>C, D</x:v>
      </x:c>
      <x:c r="Q63" s="42"/>
      <x:c r="R63" s="42"/>
      <x:c r="S63" s="42"/>
      <x:c r="T63" s="42" t="n">
        <x:v>9</x:v>
      </x:c>
    </x:row>
    <x:row r="64" ht="22" customHeight="1">
      <x:c r="A64" s="50" t="n">
        <x:v>15</x:v>
      </x:c>
      <x:c r="B64" s="2" t="str">
        <x:v>Kip</x:v>
      </x:c>
      <x:c r="C64" s="2" t="str">
        <x:v>A Door Is Not a Way Through</x:v>
      </x:c>
      <x:c r="D64" s="2" t="str">
        <x:v>Day 3 10:00:00</x:v>
      </x:c>
      <x:c r="E64" s="2" t="str">
        <x:v>Day 3 11:00:00</x:v>
      </x:c>
      <x:c r="F64" s="31" t="n">
        <x:v>7</x:v>
      </x:c>
      <x:c r="G64" s="31" t="n">
        <x:v>7</x:v>
      </x:c>
      <x:c r="H64" s="31" t="n">
        <x:v>600</x:v>
      </x:c>
      <x:c r="I64" s="31" t="n">
        <x:v>600</x:v>
      </x:c>
      <x:c r="J64" s="31" t="n">
        <x:v>700</x:v>
      </x:c>
      <x:c r="K64" s="47" t="n">
        <x:f>IF(J64="","",I64/J64)</x:f>
        <x:v>0.8571428571428571</x:v>
      </x:c>
      <x:c r="L64" s="31" t="n">
        <x:v>70</x:v>
      </x:c>
      <x:c r="M64" s="31" t="n">
        <x:v>25</x:v>
      </x:c>
      <x:c r="N64" s="31" t="n">
        <x:v>70</x:v>
      </x:c>
      <x:c r="O64" s="47" t="n">
        <x:f>IF(N64="","",M64/N64)</x:f>
        <x:v>0.35714285714285715</x:v>
      </x:c>
      <x:c r="P64" s="2" t="str">
        <x:v>D</x:v>
      </x:c>
      <x:c r="Q64" s="31" t="n">
        <x:v>120</x:v>
      </x:c>
      <x:c r="R64" s="31" t="n">
        <x:v>120</x:v>
      </x:c>
      <x:c r="S64" s="31" t="n">
        <x:v>90</x:v>
      </x:c>
      <x:c r="T64" s="31" t="n">
        <x:v>9</x:v>
      </x:c>
    </x:row>
    <x:row r="65" ht="22" customHeight="1">
      <x:c r="A65" s="51" t="n">
        <x:v>15</x:v>
      </x:c>
      <x:c r="B65" s="17" t="str">
        <x:v>Tessa</x:v>
      </x:c>
      <x:c r="C65" s="17" t="str">
        <x:v>A Door Is Not a Way Through</x:v>
      </x:c>
      <x:c r="D65" s="17" t="str">
        <x:v>Day 3 10:00:00</x:v>
      </x:c>
      <x:c r="E65" s="17" t="str">
        <x:v>Day 3 11:00:00</x:v>
      </x:c>
      <x:c r="F65" s="42" t="n">
        <x:v>9</x:v>
      </x:c>
      <x:c r="G65" s="42" t="n">
        <x:v>9</x:v>
      </x:c>
      <x:c r="H65" s="42" t="n">
        <x:v>100</x:v>
      </x:c>
      <x:c r="I65" s="42" t="n">
        <x:v>100</x:v>
      </x:c>
      <x:c r="J65" s="42" t="n">
        <x:v>900</x:v>
      </x:c>
      <x:c r="K65" s="48" t="n">
        <x:f>IF(J65="","",I65/J65)</x:f>
        <x:v>0.1111111111111111</x:v>
      </x:c>
      <x:c r="L65" s="42" t="n">
        <x:v>80</x:v>
      </x:c>
      <x:c r="M65" s="42" t="n">
        <x:v>70</x:v>
      </x:c>
      <x:c r="N65" s="42" t="n">
        <x:v>80</x:v>
      </x:c>
      <x:c r="O65" s="48" t="n">
        <x:f>IF(N65="","",M65/N65)</x:f>
        <x:v>0.875</x:v>
      </x:c>
      <x:c r="P65" s="17" t="str">
        <x:v>D</x:v>
      </x:c>
      <x:c r="Q65" s="42"/>
      <x:c r="R65" s="42"/>
      <x:c r="S65" s="42"/>
      <x:c r="T65" s="42" t="n">
        <x:v>9</x:v>
      </x:c>
    </x:row>
    <x:row r="66" ht="22" customHeight="1">
      <x:c r="A66" s="50" t="n">
        <x:v>15</x:v>
      </x:c>
      <x:c r="B66" s="2" t="str">
        <x:v>Owen</x:v>
      </x:c>
      <x:c r="C66" s="2" t="str">
        <x:v>A Door Is Not a Way Through</x:v>
      </x:c>
      <x:c r="D66" s="2" t="str">
        <x:v>Day 3 10:00:00</x:v>
      </x:c>
      <x:c r="E66" s="2" t="str">
        <x:v>Day 3 11:00:00</x:v>
      </x:c>
      <x:c r="F66" s="31" t="n">
        <x:v>11</x:v>
      </x:c>
      <x:c r="G66" s="31" t="n">
        <x:v>11</x:v>
      </x:c>
      <x:c r="H66" s="31" t="n">
        <x:v>800</x:v>
      </x:c>
      <x:c r="I66" s="31" t="n">
        <x:v>800</x:v>
      </x:c>
      <x:c r="J66" s="31" t="n">
        <x:v>1100</x:v>
      </x:c>
      <x:c r="K66" s="47" t="n">
        <x:f>IF(J66="","",I66/J66)</x:f>
        <x:v>0.7272727272727273</x:v>
      </x:c>
      <x:c r="L66" s="31" t="n">
        <x:v>90</x:v>
      </x:c>
      <x:c r="M66" s="31" t="n">
        <x:v>70</x:v>
      </x:c>
      <x:c r="N66" s="31" t="n">
        <x:v>90</x:v>
      </x:c>
      <x:c r="O66" s="47" t="n">
        <x:f>IF(N66="","",M66/N66)</x:f>
        <x:v>0.7777777777777778</x:v>
      </x:c>
      <x:c r="P66" s="2" t="str">
        <x:v>D</x:v>
      </x:c>
      <x:c r="Q66" s="31"/>
      <x:c r="R66" s="31"/>
      <x:c r="S66" s="31"/>
      <x:c r="T66" s="31" t="n">
        <x:v>9</x:v>
      </x:c>
    </x:row>
    <x:row r="67" ht="22" customHeight="1">
      <x:c r="A67" s="51" t="n">
        <x:v>15</x:v>
      </x:c>
      <x:c r="B67" s="17" t="str">
        <x:v>Dane</x:v>
      </x:c>
      <x:c r="C67" s="17" t="str">
        <x:v>A Door Is Not a Way Through</x:v>
      </x:c>
      <x:c r="D67" s="17" t="str">
        <x:v>Day 3 10:00:00</x:v>
      </x:c>
      <x:c r="E67" s="17" t="str">
        <x:v>Day 3 11:00:00</x:v>
      </x:c>
      <x:c r="F67" s="42" t="n">
        <x:v>11</x:v>
      </x:c>
      <x:c r="G67" s="42" t="n">
        <x:v>11</x:v>
      </x:c>
      <x:c r="H67" s="42" t="n">
        <x:v>800</x:v>
      </x:c>
      <x:c r="I67" s="42" t="n">
        <x:v>800</x:v>
      </x:c>
      <x:c r="J67" s="42" t="n">
        <x:v>1100</x:v>
      </x:c>
      <x:c r="K67" s="48" t="n">
        <x:f>IF(J67="","",I67/J67)</x:f>
        <x:v>0.7272727272727273</x:v>
      </x:c>
      <x:c r="L67" s="42" t="n">
        <x:v>90</x:v>
      </x:c>
      <x:c r="M67" s="42" t="n">
        <x:v>55</x:v>
      </x:c>
      <x:c r="N67" s="42" t="n">
        <x:v>90</x:v>
      </x:c>
      <x:c r="O67" s="48" t="n">
        <x:f>IF(N67="","",M67/N67)</x:f>
        <x:v>0.6111111111111112</x:v>
      </x:c>
      <x:c r="P67" s="17" t="str">
        <x:v>D</x:v>
      </x:c>
      <x:c r="Q67" s="42"/>
      <x:c r="R67" s="42"/>
      <x:c r="S67" s="42"/>
      <x:c r="T67" s="42" t="n">
        <x:v>9</x:v>
      </x:c>
    </x:row>
    <x:row r="68" ht="22" customHeight="1">
      <x:c r="A68" s="50" t="n">
        <x:v>16</x:v>
      </x:c>
      <x:c r="B68" s="2" t="str">
        <x:v>Kip</x:v>
      </x:c>
      <x:c r="C68" s="2" t="str">
        <x:v>Tell Us the Part You Dont Know</x:v>
      </x:c>
      <x:c r="D68" s="2" t="str">
        <x:v>Day 3 11:00:00</x:v>
      </x:c>
      <x:c r="E68" s="2" t="str">
        <x:v>Day 4 06:00:00</x:v>
      </x:c>
      <x:c r="F68" s="31" t="n">
        <x:v>7</x:v>
      </x:c>
      <x:c r="G68" s="31" t="n">
        <x:v>7</x:v>
      </x:c>
      <x:c r="H68" s="31" t="n">
        <x:v>600</x:v>
      </x:c>
      <x:c r="I68" s="31" t="n">
        <x:v>600</x:v>
      </x:c>
      <x:c r="J68" s="31" t="n">
        <x:v>700</x:v>
      </x:c>
      <x:c r="K68" s="47" t="n">
        <x:f>IF(J68="","",I68/J68)</x:f>
        <x:v>0.8571428571428571</x:v>
      </x:c>
      <x:c r="L68" s="31" t="n">
        <x:v>25</x:v>
      </x:c>
      <x:c r="M68" s="31" t="n">
        <x:v>70</x:v>
      </x:c>
      <x:c r="N68" s="31" t="n">
        <x:v>70</x:v>
      </x:c>
      <x:c r="O68" s="47" t="n">
        <x:f>IF(N68="","",M68/N68)</x:f>
        <x:v>1</x:v>
      </x:c>
      <x:c r="P68" s="2" t="str">
        <x:v>D</x:v>
      </x:c>
      <x:c r="Q68" s="31" t="n">
        <x:v>120</x:v>
      </x:c>
      <x:c r="R68" s="31" t="n">
        <x:v>120</x:v>
      </x:c>
      <x:c r="S68" s="31" t="n">
        <x:v>120</x:v>
      </x:c>
      <x:c r="T68" s="31" t="n">
        <x:v>9</x:v>
      </x:c>
    </x:row>
    <x:row r="69" ht="22" customHeight="1">
      <x:c r="A69" s="51" t="n">
        <x:v>16</x:v>
      </x:c>
      <x:c r="B69" s="17" t="str">
        <x:v>Tessa</x:v>
      </x:c>
      <x:c r="C69" s="17" t="str">
        <x:v>Tell Us the Part You Dont Know</x:v>
      </x:c>
      <x:c r="D69" s="17" t="str">
        <x:v>Day 3 11:00:00</x:v>
      </x:c>
      <x:c r="E69" s="17" t="str">
        <x:v>Day 4 06:00:00</x:v>
      </x:c>
      <x:c r="F69" s="42" t="n">
        <x:v>9</x:v>
      </x:c>
      <x:c r="G69" s="42" t="n">
        <x:v>9</x:v>
      </x:c>
      <x:c r="H69" s="42" t="n">
        <x:v>100</x:v>
      </x:c>
      <x:c r="I69" s="42" t="n">
        <x:v>100</x:v>
      </x:c>
      <x:c r="J69" s="42" t="n">
        <x:v>900</x:v>
      </x:c>
      <x:c r="K69" s="48" t="n">
        <x:f>IF(J69="","",I69/J69)</x:f>
        <x:v>0.1111111111111111</x:v>
      </x:c>
      <x:c r="L69" s="42" t="n">
        <x:v>70</x:v>
      </x:c>
      <x:c r="M69" s="42" t="n">
        <x:v>80</x:v>
      </x:c>
      <x:c r="N69" s="42" t="n">
        <x:v>80</x:v>
      </x:c>
      <x:c r="O69" s="48" t="n">
        <x:f>IF(N69="","",M69/N69)</x:f>
        <x:v>1</x:v>
      </x:c>
      <x:c r="P69" s="17" t="str">
        <x:v>D</x:v>
      </x:c>
      <x:c r="Q69" s="42"/>
      <x:c r="R69" s="42"/>
      <x:c r="S69" s="42"/>
      <x:c r="T69" s="42" t="n">
        <x:v>9</x:v>
      </x:c>
    </x:row>
    <x:row r="70" ht="22" customHeight="1">
      <x:c r="A70" s="50" t="n">
        <x:v>16</x:v>
      </x:c>
      <x:c r="B70" s="2" t="str">
        <x:v>Owen</x:v>
      </x:c>
      <x:c r="C70" s="2" t="str">
        <x:v>Tell Us the Part You Dont Know</x:v>
      </x:c>
      <x:c r="D70" s="2" t="str">
        <x:v>Day 3 11:00:00</x:v>
      </x:c>
      <x:c r="E70" s="2" t="str">
        <x:v>Day 4 06:00:00</x:v>
      </x:c>
      <x:c r="F70" s="31" t="n">
        <x:v>11</x:v>
      </x:c>
      <x:c r="G70" s="31" t="n">
        <x:v>11</x:v>
      </x:c>
      <x:c r="H70" s="31" t="n">
        <x:v>800</x:v>
      </x:c>
      <x:c r="I70" s="31" t="n">
        <x:v>800</x:v>
      </x:c>
      <x:c r="J70" s="31" t="n">
        <x:v>1100</x:v>
      </x:c>
      <x:c r="K70" s="47" t="n">
        <x:f>IF(J70="","",I70/J70)</x:f>
        <x:v>0.7272727272727273</x:v>
      </x:c>
      <x:c r="L70" s="31" t="n">
        <x:v>70</x:v>
      </x:c>
      <x:c r="M70" s="31" t="n">
        <x:v>90</x:v>
      </x:c>
      <x:c r="N70" s="31" t="n">
        <x:v>90</x:v>
      </x:c>
      <x:c r="O70" s="47" t="n">
        <x:f>IF(N70="","",M70/N70)</x:f>
        <x:v>1</x:v>
      </x:c>
      <x:c r="P70" s="2" t="str">
        <x:v>D</x:v>
      </x:c>
      <x:c r="Q70" s="31"/>
      <x:c r="R70" s="31"/>
      <x:c r="S70" s="31"/>
      <x:c r="T70" s="31" t="n">
        <x:v>9</x:v>
      </x:c>
    </x:row>
    <x:row r="71" ht="22" customHeight="1">
      <x:c r="A71" s="51" t="n">
        <x:v>16</x:v>
      </x:c>
      <x:c r="B71" s="17" t="str">
        <x:v>Dane</x:v>
      </x:c>
      <x:c r="C71" s="17" t="str">
        <x:v>Tell Us the Part You Dont Know</x:v>
      </x:c>
      <x:c r="D71" s="17" t="str">
        <x:v>Day 3 11:00:00</x:v>
      </x:c>
      <x:c r="E71" s="17" t="str">
        <x:v>Day 4 06:00:00</x:v>
      </x:c>
      <x:c r="F71" s="42" t="n">
        <x:v>11</x:v>
      </x:c>
      <x:c r="G71" s="42" t="n">
        <x:v>11</x:v>
      </x:c>
      <x:c r="H71" s="42" t="n">
        <x:v>800</x:v>
      </x:c>
      <x:c r="I71" s="42" t="n">
        <x:v>800</x:v>
      </x:c>
      <x:c r="J71" s="42" t="n">
        <x:v>1100</x:v>
      </x:c>
      <x:c r="K71" s="48" t="n">
        <x:f>IF(J71="","",I71/J71)</x:f>
        <x:v>0.7272727272727273</x:v>
      </x:c>
      <x:c r="L71" s="42" t="n">
        <x:v>55</x:v>
      </x:c>
      <x:c r="M71" s="42" t="n">
        <x:v>90</x:v>
      </x:c>
      <x:c r="N71" s="42" t="n">
        <x:v>90</x:v>
      </x:c>
      <x:c r="O71" s="48" t="n">
        <x:f>IF(N71="","",M71/N71)</x:f>
        <x:v>1</x:v>
      </x:c>
      <x:c r="P71" s="17" t="str">
        <x:v>D</x:v>
      </x:c>
      <x:c r="Q71" s="42"/>
      <x:c r="R71" s="42"/>
      <x:c r="S71" s="42"/>
      <x:c r="T71" s="42" t="n">
        <x:v>9</x:v>
      </x:c>
    </x:row>
    <x:row r="72" ht="22" customHeight="1">
      <x:c r="A72" s="50" t="n">
        <x:v>17</x:v>
      </x:c>
      <x:c r="B72" s="2" t="str">
        <x:v>Kip</x:v>
      </x:c>
      <x:c r="C72" s="2" t="str">
        <x:v>Ground Worth Keeping</x:v>
      </x:c>
      <x:c r="D72" s="2" t="str">
        <x:v>Day 4 06:00:00</x:v>
      </x:c>
      <x:c r="E72" s="2" t="str">
        <x:v>Day 4 08:00:00</x:v>
      </x:c>
      <x:c r="F72" s="31" t="n">
        <x:v>7</x:v>
      </x:c>
      <x:c r="G72" s="31" t="n">
        <x:v>8</x:v>
      </x:c>
      <x:c r="H72" s="31" t="n">
        <x:v>600</x:v>
      </x:c>
      <x:c r="I72" s="31" t="n">
        <x:v>200</x:v>
      </x:c>
      <x:c r="J72" s="31" t="n">
        <x:v>800</x:v>
      </x:c>
      <x:c r="K72" s="47" t="n">
        <x:f>IF(J72="","",I72/J72)</x:f>
        <x:v>0.25</x:v>
      </x:c>
      <x:c r="L72" s="31" t="n">
        <x:v>70</x:v>
      </x:c>
      <x:c r="M72" s="31" t="n">
        <x:v>75</x:v>
      </x:c>
      <x:c r="N72" s="31" t="n">
        <x:v>75</x:v>
      </x:c>
      <x:c r="O72" s="47" t="n">
        <x:f>IF(N72="","",M72/N72)</x:f>
        <x:v>1</x:v>
      </x:c>
      <x:c r="P72" s="2" t="str">
        <x:v>D, E</x:v>
      </x:c>
      <x:c r="Q72" s="31" t="n">
        <x:v>120</x:v>
      </x:c>
      <x:c r="R72" s="31" t="n">
        <x:v>120</x:v>
      </x:c>
      <x:c r="S72" s="31" t="n">
        <x:v>120</x:v>
      </x:c>
      <x:c r="T72" s="31" t="n">
        <x:v>9</x:v>
      </x:c>
    </x:row>
    <x:row r="73" ht="22" customHeight="1">
      <x:c r="A73" s="51" t="n">
        <x:v>17</x:v>
      </x:c>
      <x:c r="B73" s="17" t="str">
        <x:v>Tessa</x:v>
      </x:c>
      <x:c r="C73" s="17" t="str">
        <x:v>Ground Worth Keeping</x:v>
      </x:c>
      <x:c r="D73" s="17" t="str">
        <x:v>Day 4 06:00:00</x:v>
      </x:c>
      <x:c r="E73" s="17" t="str">
        <x:v>Day 4 08:00:00</x:v>
      </x:c>
      <x:c r="F73" s="42" t="n">
        <x:v>9</x:v>
      </x:c>
      <x:c r="G73" s="42" t="n">
        <x:v>9</x:v>
      </x:c>
      <x:c r="H73" s="42" t="n">
        <x:v>100</x:v>
      </x:c>
      <x:c r="I73" s="42" t="n">
        <x:v>400</x:v>
      </x:c>
      <x:c r="J73" s="42" t="n">
        <x:v>900</x:v>
      </x:c>
      <x:c r="K73" s="48" t="n">
        <x:f>IF(J73="","",I73/J73)</x:f>
        <x:v>0.4444444444444444</x:v>
      </x:c>
      <x:c r="L73" s="42" t="n">
        <x:v>80</x:v>
      </x:c>
      <x:c r="M73" s="42" t="n">
        <x:v>80</x:v>
      </x:c>
      <x:c r="N73" s="42" t="n">
        <x:v>80</x:v>
      </x:c>
      <x:c r="O73" s="48" t="n">
        <x:f>IF(N73="","",M73/N73)</x:f>
        <x:v>1</x:v>
      </x:c>
      <x:c r="P73" s="17" t="str">
        <x:v>D, E</x:v>
      </x:c>
      <x:c r="Q73" s="42"/>
      <x:c r="R73" s="42"/>
      <x:c r="S73" s="42"/>
      <x:c r="T73" s="42" t="n">
        <x:v>9</x:v>
      </x:c>
    </x:row>
    <x:row r="74" ht="22" customHeight="1">
      <x:c r="A74" s="50" t="n">
        <x:v>17</x:v>
      </x:c>
      <x:c r="B74" s="2" t="str">
        <x:v>Owen</x:v>
      </x:c>
      <x:c r="C74" s="2" t="str">
        <x:v>Ground Worth Keeping</x:v>
      </x:c>
      <x:c r="D74" s="2" t="str">
        <x:v>Day 4 06:00:00</x:v>
      </x:c>
      <x:c r="E74" s="2" t="str">
        <x:v>Day 4 08:00:00</x:v>
      </x:c>
      <x:c r="F74" s="31" t="n">
        <x:v>11</x:v>
      </x:c>
      <x:c r="G74" s="31" t="n">
        <x:v>12</x:v>
      </x:c>
      <x:c r="H74" s="31" t="n">
        <x:v>800</x:v>
      </x:c>
      <x:c r="I74" s="31" t="n">
        <x:v>0</x:v>
      </x:c>
      <x:c r="J74" s="31" t="n">
        <x:v>1200</x:v>
      </x:c>
      <x:c r="K74" s="47" t="n">
        <x:f>IF(J74="","",I74/J74)</x:f>
        <x:v>0</x:v>
      </x:c>
      <x:c r="L74" s="31" t="n">
        <x:v>90</x:v>
      </x:c>
      <x:c r="M74" s="31" t="n">
        <x:v>95</x:v>
      </x:c>
      <x:c r="N74" s="31" t="n">
        <x:v>95</x:v>
      </x:c>
      <x:c r="O74" s="47" t="n">
        <x:f>IF(N74="","",M74/N74)</x:f>
        <x:v>1</x:v>
      </x:c>
      <x:c r="P74" s="2" t="str">
        <x:v>D, E</x:v>
      </x:c>
      <x:c r="Q74" s="31"/>
      <x:c r="R74" s="31"/>
      <x:c r="S74" s="31"/>
      <x:c r="T74" s="31" t="n">
        <x:v>9</x:v>
      </x:c>
    </x:row>
    <x:row r="75" ht="22" customHeight="1">
      <x:c r="A75" s="51" t="n">
        <x:v>17</x:v>
      </x:c>
      <x:c r="B75" s="17" t="str">
        <x:v>Dane</x:v>
      </x:c>
      <x:c r="C75" s="17" t="str">
        <x:v>Ground Worth Keeping</x:v>
      </x:c>
      <x:c r="D75" s="17" t="str">
        <x:v>Day 4 06:00:00</x:v>
      </x:c>
      <x:c r="E75" s="17" t="str">
        <x:v>Day 4 08:00:00</x:v>
      </x:c>
      <x:c r="F75" s="42" t="n">
        <x:v>11</x:v>
      </x:c>
      <x:c r="G75" s="42" t="n">
        <x:v>12</x:v>
      </x:c>
      <x:c r="H75" s="42" t="n">
        <x:v>800</x:v>
      </x:c>
      <x:c r="I75" s="42" t="n">
        <x:v>0</x:v>
      </x:c>
      <x:c r="J75" s="42" t="n">
        <x:v>1200</x:v>
      </x:c>
      <x:c r="K75" s="48" t="n">
        <x:f>IF(J75="","",I75/J75)</x:f>
        <x:v>0</x:v>
      </x:c>
      <x:c r="L75" s="42" t="n">
        <x:v>90</x:v>
      </x:c>
      <x:c r="M75" s="42" t="n">
        <x:v>95</x:v>
      </x:c>
      <x:c r="N75" s="42" t="n">
        <x:v>95</x:v>
      </x:c>
      <x:c r="O75" s="48" t="n">
        <x:f>IF(N75="","",M75/N75)</x:f>
        <x:v>1</x:v>
      </x:c>
      <x:c r="P75" s="17" t="str">
        <x:v>D, E</x:v>
      </x:c>
      <x:c r="Q75" s="42"/>
      <x:c r="R75" s="42"/>
      <x:c r="S75" s="42"/>
      <x:c r="T75" s="42" t="n">
        <x:v>9</x:v>
      </x:c>
    </x:row>
    <x:row r="76" ht="22" customHeight="1">
      <x:c r="A76" s="50" t="n">
        <x:v>18</x:v>
      </x:c>
      <x:c r="B76" s="2" t="str">
        <x:v>Kip</x:v>
      </x:c>
      <x:c r="C76" s="2" t="str">
        <x:v>The Last Road Down</x:v>
      </x:c>
      <x:c r="D76" s="2" t="str">
        <x:v>Day 4 08:00:00</x:v>
      </x:c>
      <x:c r="E76" s="2" t="str">
        <x:v>Day 4 09:00:00</x:v>
      </x:c>
      <x:c r="F76" s="31" t="n">
        <x:v>8</x:v>
      </x:c>
      <x:c r="G76" s="31" t="n">
        <x:v>8</x:v>
      </x:c>
      <x:c r="H76" s="31" t="n">
        <x:v>200</x:v>
      </x:c>
      <x:c r="I76" s="31" t="n">
        <x:v>500</x:v>
      </x:c>
      <x:c r="J76" s="31" t="n">
        <x:v>800</x:v>
      </x:c>
      <x:c r="K76" s="47" t="n">
        <x:f>IF(J76="","",I76/J76)</x:f>
        <x:v>0.625</x:v>
      </x:c>
      <x:c r="L76" s="31" t="n">
        <x:v>75</x:v>
      </x:c>
      <x:c r="M76" s="31" t="n">
        <x:v>75</x:v>
      </x:c>
      <x:c r="N76" s="31" t="n">
        <x:v>75</x:v>
      </x:c>
      <x:c r="O76" s="47" t="n">
        <x:f>IF(N76="","",M76/N76)</x:f>
        <x:v>1</x:v>
      </x:c>
      <x:c r="P76" s="2" t="str">
        <x:v>D, E</x:v>
      </x:c>
      <x:c r="Q76" s="31" t="n">
        <x:v>120</x:v>
      </x:c>
      <x:c r="R76" s="31" t="n">
        <x:v>120</x:v>
      </x:c>
      <x:c r="S76" s="31" t="n">
        <x:v>120</x:v>
      </x:c>
      <x:c r="T76" s="31" t="n">
        <x:v>9</x:v>
      </x:c>
    </x:row>
    <x:row r="77" ht="22" customHeight="1">
      <x:c r="A77" s="51" t="n">
        <x:v>18</x:v>
      </x:c>
      <x:c r="B77" s="17" t="str">
        <x:v>Tessa</x:v>
      </x:c>
      <x:c r="C77" s="17" t="str">
        <x:v>The Last Road Down</x:v>
      </x:c>
      <x:c r="D77" s="17" t="str">
        <x:v>Day 4 08:00:00</x:v>
      </x:c>
      <x:c r="E77" s="17" t="str">
        <x:v>Day 4 09:00:00</x:v>
      </x:c>
      <x:c r="F77" s="42" t="n">
        <x:v>9</x:v>
      </x:c>
      <x:c r="G77" s="42" t="n">
        <x:v>9</x:v>
      </x:c>
      <x:c r="H77" s="42" t="n">
        <x:v>400</x:v>
      </x:c>
      <x:c r="I77" s="42" t="n">
        <x:v>700</x:v>
      </x:c>
      <x:c r="J77" s="42" t="n">
        <x:v>900</x:v>
      </x:c>
      <x:c r="K77" s="48" t="n">
        <x:f>IF(J77="","",I77/J77)</x:f>
        <x:v>0.7777777777777778</x:v>
      </x:c>
      <x:c r="L77" s="42" t="n">
        <x:v>80</x:v>
      </x:c>
      <x:c r="M77" s="42" t="n">
        <x:v>80</x:v>
      </x:c>
      <x:c r="N77" s="42" t="n">
        <x:v>80</x:v>
      </x:c>
      <x:c r="O77" s="48" t="n">
        <x:f>IF(N77="","",M77/N77)</x:f>
        <x:v>1</x:v>
      </x:c>
      <x:c r="P77" s="17" t="str">
        <x:v>D, E</x:v>
      </x:c>
      <x:c r="Q77" s="42"/>
      <x:c r="R77" s="42"/>
      <x:c r="S77" s="42"/>
      <x:c r="T77" s="42" t="n">
        <x:v>9</x:v>
      </x:c>
    </x:row>
    <x:row r="78" ht="22" customHeight="1">
      <x:c r="A78" s="50" t="n">
        <x:v>18</x:v>
      </x:c>
      <x:c r="B78" s="2" t="str">
        <x:v>Owen</x:v>
      </x:c>
      <x:c r="C78" s="2" t="str">
        <x:v>The Last Road Down</x:v>
      </x:c>
      <x:c r="D78" s="2" t="str">
        <x:v>Day 4 08:00:00</x:v>
      </x:c>
      <x:c r="E78" s="2" t="str">
        <x:v>Day 4 09:00:00</x:v>
      </x:c>
      <x:c r="F78" s="31" t="n">
        <x:v>12</x:v>
      </x:c>
      <x:c r="G78" s="31" t="n">
        <x:v>12</x:v>
      </x:c>
      <x:c r="H78" s="31" t="n">
        <x:v>0</x:v>
      </x:c>
      <x:c r="I78" s="31" t="n">
        <x:v>300</x:v>
      </x:c>
      <x:c r="J78" s="31" t="n">
        <x:v>1200</x:v>
      </x:c>
      <x:c r="K78" s="47" t="n">
        <x:f>IF(J78="","",I78/J78)</x:f>
        <x:v>0.25</x:v>
      </x:c>
      <x:c r="L78" s="31" t="n">
        <x:v>95</x:v>
      </x:c>
      <x:c r="M78" s="31" t="n">
        <x:v>95</x:v>
      </x:c>
      <x:c r="N78" s="31" t="n">
        <x:v>95</x:v>
      </x:c>
      <x:c r="O78" s="47" t="n">
        <x:f>IF(N78="","",M78/N78)</x:f>
        <x:v>1</x:v>
      </x:c>
      <x:c r="P78" s="2" t="str">
        <x:v>D, E</x:v>
      </x:c>
      <x:c r="Q78" s="31"/>
      <x:c r="R78" s="31"/>
      <x:c r="S78" s="31"/>
      <x:c r="T78" s="31" t="n">
        <x:v>9</x:v>
      </x:c>
    </x:row>
    <x:row r="79" ht="22" customHeight="1">
      <x:c r="A79" s="51" t="n">
        <x:v>18</x:v>
      </x:c>
      <x:c r="B79" s="17" t="str">
        <x:v>Dane</x:v>
      </x:c>
      <x:c r="C79" s="17" t="str">
        <x:v>The Last Road Down</x:v>
      </x:c>
      <x:c r="D79" s="17" t="str">
        <x:v>Day 4 08:00:00</x:v>
      </x:c>
      <x:c r="E79" s="17" t="str">
        <x:v>Day 4 09:00:00</x:v>
      </x:c>
      <x:c r="F79" s="42" t="n">
        <x:v>12</x:v>
      </x:c>
      <x:c r="G79" s="42" t="n">
        <x:v>12</x:v>
      </x:c>
      <x:c r="H79" s="42" t="n">
        <x:v>0</x:v>
      </x:c>
      <x:c r="I79" s="42" t="n">
        <x:v>300</x:v>
      </x:c>
      <x:c r="J79" s="42" t="n">
        <x:v>1200</x:v>
      </x:c>
      <x:c r="K79" s="48" t="n">
        <x:f>IF(J79="","",I79/J79)</x:f>
        <x:v>0.25</x:v>
      </x:c>
      <x:c r="L79" s="42" t="n">
        <x:v>95</x:v>
      </x:c>
      <x:c r="M79" s="42" t="n">
        <x:v>95</x:v>
      </x:c>
      <x:c r="N79" s="42" t="n">
        <x:v>95</x:v>
      </x:c>
      <x:c r="O79" s="48" t="n">
        <x:f>IF(N79="","",M79/N79)</x:f>
        <x:v>1</x:v>
      </x:c>
      <x:c r="P79" s="17" t="str">
        <x:v>D, E</x:v>
      </x:c>
      <x:c r="Q79" s="42"/>
      <x:c r="R79" s="42"/>
      <x:c r="S79" s="42"/>
      <x:c r="T79" s="42" t="n">
        <x:v>9</x:v>
      </x:c>
    </x:row>
    <x:row r="80" ht="22" customHeight="1">
      <x:c r="A80" s="50" t="n">
        <x:v>19</x:v>
      </x:c>
      <x:c r="B80" s="2" t="str">
        <x:v>Kip</x:v>
      </x:c>
      <x:c r="C80" s="2" t="str">
        <x:v>What a Sovereign Can Refuse</x:v>
      </x:c>
      <x:c r="D80" s="2" t="str">
        <x:v>Day 4 09:00:00</x:v>
      </x:c>
      <x:c r="E80" s="2" t="str">
        <x:v>Day 4 09:30:00</x:v>
      </x:c>
      <x:c r="F80" s="31" t="n">
        <x:v>8</x:v>
      </x:c>
      <x:c r="G80" s="31" t="n">
        <x:v>9</x:v>
      </x:c>
      <x:c r="H80" s="31" t="n">
        <x:v>500</x:v>
      </x:c>
      <x:c r="I80" s="31" t="n">
        <x:v>0</x:v>
      </x:c>
      <x:c r="J80" s="31" t="n">
        <x:v>900</x:v>
      </x:c>
      <x:c r="K80" s="47" t="n">
        <x:f>IF(J80="","",I80/J80)</x:f>
        <x:v>0</x:v>
      </x:c>
      <x:c r="L80" s="31" t="n">
        <x:v>75</x:v>
      </x:c>
      <x:c r="M80" s="31" t="n">
        <x:v>15</x:v>
      </x:c>
      <x:c r="N80" s="31" t="n">
        <x:v>80</x:v>
      </x:c>
      <x:c r="O80" s="47" t="n">
        <x:f>IF(N80="","",M80/N80)</x:f>
        <x:v>0.1875</x:v>
      </x:c>
      <x:c r="P80" s="2" t="str">
        <x:v>D, E</x:v>
      </x:c>
      <x:c r="Q80" s="31" t="n">
        <x:v>120</x:v>
      </x:c>
      <x:c r="R80" s="31" t="n">
        <x:v>120</x:v>
      </x:c>
      <x:c r="S80" s="31" t="n">
        <x:v>120</x:v>
      </x:c>
      <x:c r="T80" s="31" t="n">
        <x:v>9</x:v>
      </x:c>
    </x:row>
    <x:row r="81" ht="22" customHeight="1">
      <x:c r="A81" s="51" t="n">
        <x:v>19</x:v>
      </x:c>
      <x:c r="B81" s="17" t="str">
        <x:v>Tessa</x:v>
      </x:c>
      <x:c r="C81" s="17" t="str">
        <x:v>What a Sovereign Can Refuse</x:v>
      </x:c>
      <x:c r="D81" s="17" t="str">
        <x:v>Day 4 09:00:00</x:v>
      </x:c>
      <x:c r="E81" s="17" t="str">
        <x:v>Day 4 09:30:00</x:v>
      </x:c>
      <x:c r="F81" s="42" t="n">
        <x:v>9</x:v>
      </x:c>
      <x:c r="G81" s="42" t="n">
        <x:v>10</x:v>
      </x:c>
      <x:c r="H81" s="42" t="n">
        <x:v>700</x:v>
      </x:c>
      <x:c r="I81" s="42" t="n">
        <x:v>100</x:v>
      </x:c>
      <x:c r="J81" s="42" t="n">
        <x:v>1000</x:v>
      </x:c>
      <x:c r="K81" s="48" t="n">
        <x:f>IF(J81="","",I81/J81)</x:f>
        <x:v>0.1</x:v>
      </x:c>
      <x:c r="L81" s="42" t="n">
        <x:v>80</x:v>
      </x:c>
      <x:c r="M81" s="42" t="n">
        <x:v>60</x:v>
      </x:c>
      <x:c r="N81" s="42" t="n">
        <x:v>85</x:v>
      </x:c>
      <x:c r="O81" s="48" t="n">
        <x:f>IF(N81="","",M81/N81)</x:f>
        <x:v>0.7058823529411765</x:v>
      </x:c>
      <x:c r="P81" s="17" t="str">
        <x:v>D, E</x:v>
      </x:c>
      <x:c r="Q81" s="42"/>
      <x:c r="R81" s="42"/>
      <x:c r="S81" s="42"/>
      <x:c r="T81" s="42" t="n">
        <x:v>9</x:v>
      </x:c>
    </x:row>
    <x:row r="82" ht="22" customHeight="1">
      <x:c r="A82" s="50" t="n">
        <x:v>19</x:v>
      </x:c>
      <x:c r="B82" s="2" t="str">
        <x:v>Owen</x:v>
      </x:c>
      <x:c r="C82" s="2" t="str">
        <x:v>What a Sovereign Can Refuse</x:v>
      </x:c>
      <x:c r="D82" s="2" t="str">
        <x:v>Day 4 09:00:00</x:v>
      </x:c>
      <x:c r="E82" s="2" t="str">
        <x:v>Day 4 09:30:00</x:v>
      </x:c>
      <x:c r="F82" s="31" t="n">
        <x:v>12</x:v>
      </x:c>
      <x:c r="G82" s="31" t="n">
        <x:v>12</x:v>
      </x:c>
      <x:c r="H82" s="31" t="n">
        <x:v>300</x:v>
      </x:c>
      <x:c r="I82" s="31" t="n">
        <x:v>600</x:v>
      </x:c>
      <x:c r="J82" s="31" t="n">
        <x:v>1200</x:v>
      </x:c>
      <x:c r="K82" s="47" t="n">
        <x:f>IF(J82="","",I82/J82)</x:f>
        <x:v>0.5</x:v>
      </x:c>
      <x:c r="L82" s="31" t="n">
        <x:v>95</x:v>
      </x:c>
      <x:c r="M82" s="31" t="n">
        <x:v>65</x:v>
      </x:c>
      <x:c r="N82" s="31" t="n">
        <x:v>95</x:v>
      </x:c>
      <x:c r="O82" s="47" t="n">
        <x:f>IF(N82="","",M82/N82)</x:f>
        <x:v>0.6842105263157895</x:v>
      </x:c>
      <x:c r="P82" s="2" t="str">
        <x:v>D, E</x:v>
      </x:c>
      <x:c r="Q82" s="31"/>
      <x:c r="R82" s="31"/>
      <x:c r="S82" s="31"/>
      <x:c r="T82" s="31" t="n">
        <x:v>9</x:v>
      </x:c>
    </x:row>
    <x:row r="83" ht="22" customHeight="1">
      <x:c r="A83" s="51" t="n">
        <x:v>19</x:v>
      </x:c>
      <x:c r="B83" s="17" t="str">
        <x:v>Dane</x:v>
      </x:c>
      <x:c r="C83" s="17" t="str">
        <x:v>What a Sovereign Can Refuse</x:v>
      </x:c>
      <x:c r="D83" s="17" t="str">
        <x:v>Day 4 09:00:00</x:v>
      </x:c>
      <x:c r="E83" s="17" t="str">
        <x:v>Day 4 09:30:00</x:v>
      </x:c>
      <x:c r="F83" s="42" t="n">
        <x:v>12</x:v>
      </x:c>
      <x:c r="G83" s="42" t="n">
        <x:v>12</x:v>
      </x:c>
      <x:c r="H83" s="42" t="n">
        <x:v>300</x:v>
      </x:c>
      <x:c r="I83" s="42" t="n">
        <x:v>600</x:v>
      </x:c>
      <x:c r="J83" s="42" t="n">
        <x:v>1200</x:v>
      </x:c>
      <x:c r="K83" s="48" t="n">
        <x:f>IF(J83="","",I83/J83)</x:f>
        <x:v>0.5</x:v>
      </x:c>
      <x:c r="L83" s="42" t="n">
        <x:v>95</x:v>
      </x:c>
      <x:c r="M83" s="42" t="n">
        <x:v>60</x:v>
      </x:c>
      <x:c r="N83" s="42" t="n">
        <x:v>95</x:v>
      </x:c>
      <x:c r="O83" s="48" t="n">
        <x:f>IF(N83="","",M83/N83)</x:f>
        <x:v>0.631578947368421</x:v>
      </x:c>
      <x:c r="P83" s="17" t="str">
        <x:v>D, E</x:v>
      </x:c>
      <x:c r="Q83" s="42"/>
      <x:c r="R83" s="42"/>
      <x:c r="S83" s="42"/>
      <x:c r="T83" s="42" t="n">
        <x:v>9</x:v>
      </x:c>
    </x:row>
    <x:row r="84" ht="22" customHeight="1">
      <x:c r="A84" s="50" t="n">
        <x:v>20</x:v>
      </x:c>
      <x:c r="B84" s="2" t="str">
        <x:v>Kip</x:v>
      </x:c>
      <x:c r="C84" s="2" t="str">
        <x:v>The Sky Is Not Home</x:v>
      </x:c>
      <x:c r="D84" s="2" t="str">
        <x:v>Day 4 09:30:00</x:v>
      </x:c>
      <x:c r="E84" s="2" t="str">
        <x:v>Day 4 12:00:00</x:v>
      </x:c>
      <x:c r="F84" s="31" t="n">
        <x:v>9</x:v>
      </x:c>
      <x:c r="G84" s="31" t="n">
        <x:v>9</x:v>
      </x:c>
      <x:c r="H84" s="31" t="n">
        <x:v>0</x:v>
      </x:c>
      <x:c r="I84" s="31" t="n">
        <x:v>100</x:v>
      </x:c>
      <x:c r="J84" s="31" t="n">
        <x:v>900</x:v>
      </x:c>
      <x:c r="K84" s="47" t="n">
        <x:f>IF(J84="","",I84/J84)</x:f>
        <x:v>0.1111111111111111</x:v>
      </x:c>
      <x:c r="L84" s="31" t="n">
        <x:v>15</x:v>
      </x:c>
      <x:c r="M84" s="31" t="n">
        <x:v>70</x:v>
      </x:c>
      <x:c r="N84" s="31" t="n">
        <x:v>80</x:v>
      </x:c>
      <x:c r="O84" s="47" t="n">
        <x:f>IF(N84="","",M84/N84)</x:f>
        <x:v>0.875</x:v>
      </x:c>
      <x:c r="P84" s="2" t="str">
        <x:v>D, E</x:v>
      </x:c>
      <x:c r="Q84" s="31" t="n">
        <x:v>120</x:v>
      </x:c>
      <x:c r="R84" s="31" t="n">
        <x:v>120</x:v>
      </x:c>
      <x:c r="S84" s="31" t="n">
        <x:v>120</x:v>
      </x:c>
      <x:c r="T84" s="31" t="n">
        <x:v>9</x:v>
      </x:c>
    </x:row>
    <x:row r="85" ht="22" customHeight="1">
      <x:c r="A85" s="51" t="n">
        <x:v>20</x:v>
      </x:c>
      <x:c r="B85" s="17" t="str">
        <x:v>Tessa</x:v>
      </x:c>
      <x:c r="C85" s="17" t="str">
        <x:v>The Sky Is Not Home</x:v>
      </x:c>
      <x:c r="D85" s="17" t="str">
        <x:v>Day 4 09:30:00</x:v>
      </x:c>
      <x:c r="E85" s="17" t="str">
        <x:v>Day 4 12:00:00</x:v>
      </x:c>
      <x:c r="F85" s="42" t="n">
        <x:v>10</x:v>
      </x:c>
      <x:c r="G85" s="42" t="n">
        <x:v>10</x:v>
      </x:c>
      <x:c r="H85" s="42" t="n">
        <x:v>100</x:v>
      </x:c>
      <x:c r="I85" s="42" t="n">
        <x:v>200</x:v>
      </x:c>
      <x:c r="J85" s="42" t="n">
        <x:v>1000</x:v>
      </x:c>
      <x:c r="K85" s="48" t="n">
        <x:f>IF(J85="","",I85/J85)</x:f>
        <x:v>0.2</x:v>
      </x:c>
      <x:c r="L85" s="42" t="n">
        <x:v>60</x:v>
      </x:c>
      <x:c r="M85" s="42" t="n">
        <x:v>75</x:v>
      </x:c>
      <x:c r="N85" s="42" t="n">
        <x:v>85</x:v>
      </x:c>
      <x:c r="O85" s="48" t="n">
        <x:f>IF(N85="","",M85/N85)</x:f>
        <x:v>0.8823529411764706</x:v>
      </x:c>
      <x:c r="P85" s="17" t="str">
        <x:v>D, E</x:v>
      </x:c>
      <x:c r="Q85" s="42"/>
      <x:c r="R85" s="42"/>
      <x:c r="S85" s="42"/>
      <x:c r="T85" s="42" t="n">
        <x:v>9</x:v>
      </x:c>
    </x:row>
    <x:row r="86" ht="22" customHeight="1">
      <x:c r="A86" s="50" t="n">
        <x:v>20</x:v>
      </x:c>
      <x:c r="B86" s="2" t="str">
        <x:v>Owen</x:v>
      </x:c>
      <x:c r="C86" s="2" t="str">
        <x:v>The Sky Is Not Home</x:v>
      </x:c>
      <x:c r="D86" s="2" t="str">
        <x:v>Day 4 09:30:00</x:v>
      </x:c>
      <x:c r="E86" s="2" t="str">
        <x:v>Day 4 12:00:00</x:v>
      </x:c>
      <x:c r="F86" s="31" t="n">
        <x:v>12</x:v>
      </x:c>
      <x:c r="G86" s="31" t="n">
        <x:v>12</x:v>
      </x:c>
      <x:c r="H86" s="31" t="n">
        <x:v>600</x:v>
      </x:c>
      <x:c r="I86" s="31" t="n">
        <x:v>700</x:v>
      </x:c>
      <x:c r="J86" s="31" t="n">
        <x:v>1200</x:v>
      </x:c>
      <x:c r="K86" s="47" t="n">
        <x:f>IF(J86="","",I86/J86)</x:f>
        <x:v>0.5833333333333334</x:v>
      </x:c>
      <x:c r="L86" s="31" t="n">
        <x:v>65</x:v>
      </x:c>
      <x:c r="M86" s="31" t="n">
        <x:v>95</x:v>
      </x:c>
      <x:c r="N86" s="31" t="n">
        <x:v>95</x:v>
      </x:c>
      <x:c r="O86" s="47" t="n">
        <x:f>IF(N86="","",M86/N86)</x:f>
        <x:v>1</x:v>
      </x:c>
      <x:c r="P86" s="2" t="str">
        <x:v>D, E</x:v>
      </x:c>
      <x:c r="Q86" s="31"/>
      <x:c r="R86" s="31"/>
      <x:c r="S86" s="31"/>
      <x:c r="T86" s="31" t="n">
        <x:v>9</x:v>
      </x:c>
    </x:row>
    <x:row r="87" ht="22" customHeight="1">
      <x:c r="A87" s="52" t="n">
        <x:v>20</x:v>
      </x:c>
      <x:c r="B87" s="18" t="str">
        <x:v>Dane</x:v>
      </x:c>
      <x:c r="C87" s="18" t="str">
        <x:v>The Sky Is Not Home</x:v>
      </x:c>
      <x:c r="D87" s="18" t="str">
        <x:v>Day 4 09:30:00</x:v>
      </x:c>
      <x:c r="E87" s="18" t="str">
        <x:v>Day 4 12:00:00</x:v>
      </x:c>
      <x:c r="F87" s="43" t="n">
        <x:v>12</x:v>
      </x:c>
      <x:c r="G87" s="43" t="n">
        <x:v>12</x:v>
      </x:c>
      <x:c r="H87" s="43" t="n">
        <x:v>600</x:v>
      </x:c>
      <x:c r="I87" s="43" t="n">
        <x:v>700</x:v>
      </x:c>
      <x:c r="J87" s="43" t="n">
        <x:v>1200</x:v>
      </x:c>
      <x:c r="K87" s="49" t="n">
        <x:f>IF(J87="","",I87/J87)</x:f>
        <x:v>0.5833333333333334</x:v>
      </x:c>
      <x:c r="L87" s="43" t="n">
        <x:v>60</x:v>
      </x:c>
      <x:c r="M87" s="43" t="n">
        <x:v>75</x:v>
      </x:c>
      <x:c r="N87" s="43" t="n">
        <x:v>95</x:v>
      </x:c>
      <x:c r="O87" s="49" t="n">
        <x:f>IF(N87="","",M87/N87)</x:f>
        <x:v>0.7894736842105263</x:v>
      </x:c>
      <x:c r="P87" s="18" t="str">
        <x:v>D, E</x:v>
      </x:c>
      <x:c r="Q87" s="43"/>
      <x:c r="R87" s="43"/>
      <x:c r="S87" s="43"/>
      <x:c r="T87" s="43" t="n">
        <x:v>9</x:v>
      </x:c>
    </x:row>
    <x:row r="88" ht="22" customHeight="1">
      <x:c r="A88" s="2"/>
      <x:c r="B88" s="2"/>
      <x:c r="C88" s="2"/>
      <x:c r="D88" s="2"/>
      <x:c r="E88" s="2"/>
      <x:c r="F88" s="2"/>
      <x:c r="G88" s="2"/>
      <x:c r="H88" s="2"/>
      <x:c r="I88" s="2"/>
      <x:c r="J88" s="2"/>
      <x:c r="K88" s="2"/>
      <x:c r="L88" s="2"/>
      <x:c r="M88" s="2"/>
      <x:c r="N88" s="2"/>
      <x:c r="O88" s="2"/>
      <x:c r="P88" s="2"/>
      <x:c r="Q88" s="2"/>
      <x:c r="R88" s="2"/>
      <x:c r="S88" s="2"/>
      <x:c r="T88" s="2"/>
    </x:row>
  </x:sheetData>
  <x:pageMargins left="0.7" right="0.7" top="0.75" bottom="0.75" header="0.3" footer="0.3"/>
  <x:tableParts count="1">
    <x:tablePart xmlns:r="http://schemas.openxmlformats.org/officeDocument/2006/relationships" r:id="Re15c3f4f2d924786"/>
  </x:tableParts>
</x:worksheet>
</file>

<file path=xl/worksheets/sheet2.xml><?xml version="1.0" encoding="utf-8"?>
<x:worksheet xmlns:x="http://schemas.openxmlformats.org/spreadsheetml/2006/main">
  <x:sheetPr>
    <x:tabColor rgb="FF493D69"/>
  </x:sheetPr>
  <x:sheetViews>
    <x:sheetView showGridLines="0" workbookViewId="0">
      <x:pane xSplit="2" ySplit="7" topLeftCell="C8" activePane="bottomRight" state="frozen"/>
    </x:sheetView>
  </x:sheetViews>
  <x:sheetFormatPr defaultRowHeight="15"/>
  <x:cols>
    <x:col min="1" max="1" width="13" hidden="0" customWidth="1"/>
    <x:col min="2" max="2" width="6" hidden="0" customWidth="1"/>
    <x:col min="3" max="3" width="12" hidden="0" customWidth="1"/>
    <x:col min="4" max="4" width="24" hidden="0" customWidth="1"/>
    <x:col min="5" max="5" width="10" hidden="0" customWidth="1"/>
    <x:col min="6" max="6" width="21" hidden="0" customWidth="1"/>
    <x:col min="7" max="7" width="14" hidden="0" customWidth="1"/>
    <x:col min="8" max="8" width="13" hidden="0" customWidth="1"/>
    <x:col min="9" max="9" width="14" hidden="0" customWidth="1"/>
    <x:col min="10" max="10" width="12" hidden="0" customWidth="1"/>
    <x:col min="11" max="11" width="12" hidden="0" customWidth="1"/>
    <x:col min="12" max="12" width="12" hidden="0" customWidth="1"/>
    <x:col min="13" max="13" width="12" hidden="0" customWidth="1"/>
    <x:col min="14" max="14" width="12" hidden="0" customWidth="1"/>
    <x:col min="15" max="15" width="14" hidden="0" customWidth="1"/>
    <x:col min="16" max="16" width="14" hidden="0" customWidth="1"/>
    <x:col min="17" max="17" width="14" hidden="0" customWidth="1"/>
  </x:cols>
  <x:sheetData>
    <x:row r="1" ht="10" customHeight="1">
      <x:c r="A1" s="2"/>
      <x:c r="B1" s="2"/>
      <x:c r="C1" s="2"/>
      <x:c r="D1" s="2"/>
      <x:c r="E1" s="2"/>
      <x:c r="F1" s="2"/>
      <x:c r="G1" s="2"/>
      <x:c r="H1" s="2"/>
      <x:c r="I1" s="2"/>
      <x:c r="J1" s="2"/>
      <x:c r="K1" s="2"/>
      <x:c r="L1" s="2"/>
      <x:c r="M1" s="2"/>
      <x:c r="N1" s="2"/>
      <x:c r="O1" s="2"/>
      <x:c r="P1" s="2"/>
      <x:c r="Q1" s="2"/>
    </x:row>
    <x:row r="2" ht="22" customHeight="1">
      <x:c r="A2" s="3" t="str">
        <x:v>Mana events</x:v>
      </x:c>
      <x:c r="B2" s="2"/>
      <x:c r="C2" s="2"/>
      <x:c r="D2" s="2"/>
      <x:c r="E2" s="2"/>
      <x:c r="F2" s="2"/>
      <x:c r="G2" s="2"/>
      <x:c r="H2" s="2"/>
      <x:c r="I2" s="2"/>
      <x:c r="J2" s="2"/>
      <x:c r="K2" s="2"/>
      <x:c r="L2" s="2"/>
      <x:c r="M2" s="2"/>
      <x:c r="N2" s="2"/>
      <x:c r="O2" s="2"/>
      <x:c r="P2" s="2"/>
      <x:c r="Q2" s="2"/>
    </x:row>
    <x:row r="3" ht="22" customHeight="1">
      <x:c r="A3" s="4"/>
      <x:c r="B3" s="4"/>
      <x:c r="C3" s="4"/>
      <x:c r="D3" s="4"/>
      <x:c r="E3" s="4"/>
      <x:c r="F3" s="4"/>
      <x:c r="G3" s="4"/>
      <x:c r="H3" s="4"/>
      <x:c r="I3" s="4"/>
      <x:c r="J3" s="4"/>
      <x:c r="K3" s="4"/>
      <x:c r="L3" s="4"/>
      <x:c r="M3" s="4"/>
      <x:c r="N3" s="4"/>
      <x:c r="O3" s="4"/>
      <x:c r="P3" s="4"/>
      <x:c r="Q3" s="4"/>
    </x:row>
    <x:row r="4" ht="22" customHeight="1">
      <x:c r="A4" s="2" t="str">
        <x:v>Chronological planned casts and explicit quiet recovery, including pre-arrival costs.</x:v>
      </x:c>
      <x:c r="B4" s="2"/>
      <x:c r="C4" s="2"/>
      <x:c r="D4" s="2"/>
      <x:c r="E4" s="2"/>
      <x:c r="F4" s="2"/>
      <x:c r="G4" s="2"/>
      <x:c r="H4" s="2"/>
      <x:c r="I4" s="2"/>
      <x:c r="J4" s="2"/>
      <x:c r="K4" s="2"/>
      <x:c r="L4" s="2"/>
      <x:c r="M4" s="2"/>
      <x:c r="N4" s="2"/>
      <x:c r="O4" s="2"/>
      <x:c r="P4" s="2"/>
      <x:c r="Q4" s="2"/>
    </x:row>
    <x:row r="5" ht="22" customHeight="1">
      <x:c r="A5" s="5" t="str">
        <x:v>Differences test arithmetic. Event details and declared geometry are in Story carryover.</x:v>
      </x:c>
      <x:c r="B5" s="2"/>
      <x:c r="C5" s="2"/>
      <x:c r="D5" s="2"/>
      <x:c r="E5" s="2"/>
      <x:c r="F5" s="2"/>
      <x:c r="G5" s="2"/>
      <x:c r="H5" s="2"/>
      <x:c r="I5" s="2"/>
      <x:c r="J5" s="2"/>
      <x:c r="K5" s="2"/>
      <x:c r="L5" s="2"/>
      <x:c r="M5" s="2"/>
      <x:c r="N5" s="2"/>
      <x:c r="O5" s="2"/>
      <x:c r="P5" s="2"/>
      <x:c r="Q5" s="2"/>
    </x:row>
    <x:row r="6" ht="22" customHeight="1">
      <x:c r="A6" s="2"/>
      <x:c r="B6" s="2"/>
      <x:c r="C6" s="2"/>
      <x:c r="D6" s="2"/>
      <x:c r="E6" s="2"/>
      <x:c r="F6" s="2"/>
      <x:c r="G6" s="2"/>
      <x:c r="H6" s="2"/>
      <x:c r="I6" s="2"/>
      <x:c r="J6" s="2"/>
      <x:c r="K6" s="2"/>
      <x:c r="L6" s="2"/>
      <x:c r="M6" s="2"/>
      <x:c r="N6" s="2"/>
      <x:c r="O6" s="2"/>
      <x:c r="P6" s="2"/>
      <x:c r="Q6" s="2"/>
    </x:row>
    <x:row r="7" ht="34" customHeight="1">
      <x:c r="A7" s="14" t="str">
        <x:v>Event ID</x:v>
      </x:c>
      <x:c r="B7" s="15" t="str">
        <x:v>Ch</x:v>
      </x:c>
      <x:c r="C7" s="15" t="str">
        <x:v>Person</x:v>
      </x:c>
      <x:c r="D7" s="15" t="str">
        <x:v>Starts</x:v>
      </x:c>
      <x:c r="E7" s="15" t="str">
        <x:v>Kind</x:v>
      </x:c>
      <x:c r="F7" s="15" t="str">
        <x:v>Ability</x:v>
      </x:c>
      <x:c r="G7" s="15" t="str">
        <x:v>Before recorded</x:v>
      </x:c>
      <x:c r="H7" s="15" t="str">
        <x:v>Before calc</x:v>
      </x:c>
      <x:c r="I7" s="15" t="str">
        <x:v>Before difference</x:v>
      </x:c>
      <x:c r="J7" s="15" t="str">
        <x:v>Mana spent</x:v>
      </x:c>
      <x:c r="K7" s="15" t="str">
        <x:v>Rest minutes</x:v>
      </x:c>
      <x:c r="L7" s="15" t="str">
        <x:v>Recovery</x:v>
      </x:c>
      <x:c r="M7" s="15" t="str">
        <x:v>Mana cap</x:v>
      </x:c>
      <x:c r="N7" s="15" t="str">
        <x:v>After calc</x:v>
      </x:c>
      <x:c r="O7" s="15" t="str">
        <x:v>After recorded</x:v>
      </x:c>
      <x:c r="P7" s="15" t="str">
        <x:v>After difference</x:v>
      </x:c>
      <x:c r="Q7" s="16" t="str">
        <x:v>Cost difference</x:v>
      </x:c>
    </x:row>
    <x:row r="8" ht="22" customHeight="1">
      <x:c r="A8" s="2" t="str">
        <x:v>PRE01</x:v>
      </x:c>
      <x:c r="B8" s="50" t="n">
        <x:v>0</x:v>
      </x:c>
      <x:c r="C8" s="2" t="str">
        <x:v>Tessa</x:v>
      </x:c>
      <x:c r="D8" s="2" t="str">
        <x:v>Day 1 07:58:15</x:v>
      </x:c>
      <x:c r="E8" s="2" t="str">
        <x:v>cast</x:v>
      </x:c>
      <x:c r="F8" s="2" t="str">
        <x:v>Trail Sight</x:v>
      </x:c>
      <x:c r="G8" s="31"/>
      <x:c r="H8" s="31" t="n">
        <x:f>'Rules'!I9</x:f>
        <x:v>60</x:v>
      </x:c>
      <x:c r="I8" s="31" t="str">
        <x:f>IF(AND(ISNUMBER(G8),ISNUMBER(H8)),H8-G8,"")</x:f>
      </x:c>
      <x:c r="J8" s="31" t="n">
        <x:v>15</x:v>
      </x:c>
      <x:c r="K8" s="31" t="n">
        <x:v>0</x:v>
      </x:c>
      <x:c r="L8" s="31" t="n">
        <x:f>IF(AND(ISNUMBER(K8),ISNUMBER('Rules'!$B$10)),K8*'Rules'!$B$10,"")</x:f>
        <x:v>0</x:v>
      </x:c>
      <x:c r="M8" s="31" t="n">
        <x:f>'Rules'!$B$8+'Rules'!$B$9*('Rules'!G9-1)</x:f>
        <x:v>60</x:v>
      </x:c>
      <x:c r="N8" s="31" t="n">
        <x:f>IF(AND(ISNUMBER(H8),ISNUMBER(J8),ISNUMBER(L8),ISNUMBER(M8)),MIN(M8,H8-J8+L8),"")</x:f>
        <x:v>45</x:v>
      </x:c>
      <x:c r="O8" s="31"/>
      <x:c r="P8" s="31" t="str">
        <x:f>IF(AND(ISNUMBER(O8),ISNUMBER(N8)),N8-O8,"")</x:f>
      </x:c>
      <x:c r="Q8" s="31" t="n">
        <x:f>IF(E8="cast",J8-INDEX('Rules'!$G$15:$G$23,MATCH(F8,'Rules'!$F$15:$F$23,0)),"")</x:f>
        <x:v>0</x:v>
      </x:c>
    </x:row>
    <x:row r="9" ht="22" customHeight="1">
      <x:c r="A9" s="17" t="str">
        <x:v>PRE02</x:v>
      </x:c>
      <x:c r="B9" s="51" t="n">
        <x:v>0</x:v>
      </x:c>
      <x:c r="C9" s="17" t="str">
        <x:v>Owen</x:v>
      </x:c>
      <x:c r="D9" s="17" t="str">
        <x:v>Day 1 07:58:25</x:v>
      </x:c>
      <x:c r="E9" s="17" t="str">
        <x:v>cast</x:v>
      </x:c>
      <x:c r="F9" s="17" t="str">
        <x:v>Staunch</x:v>
      </x:c>
      <x:c r="G9" s="42"/>
      <x:c r="H9" s="42" t="n">
        <x:f>'Rules'!I10</x:f>
        <x:v>80</x:v>
      </x:c>
      <x:c r="I9" s="42" t="str">
        <x:f>IF(AND(ISNUMBER(G9),ISNUMBER(H9)),H9-G9,"")</x:f>
      </x:c>
      <x:c r="J9" s="42" t="n">
        <x:v>10</x:v>
      </x:c>
      <x:c r="K9" s="42" t="n">
        <x:v>0</x:v>
      </x:c>
      <x:c r="L9" s="42" t="n">
        <x:f>IF(AND(ISNUMBER(K9),ISNUMBER('Rules'!$B$10)),K9*'Rules'!$B$10,"")</x:f>
        <x:v>0</x:v>
      </x:c>
      <x:c r="M9" s="42" t="n">
        <x:f>'Rules'!$B$8+'Rules'!$B$9*('Rules'!G10-1)</x:f>
        <x:v>80</x:v>
      </x:c>
      <x:c r="N9" s="42" t="n">
        <x:f>IF(AND(ISNUMBER(H9),ISNUMBER(J9),ISNUMBER(L9),ISNUMBER(M9)),MIN(M9,H9-J9+L9),"")</x:f>
        <x:v>70</x:v>
      </x:c>
      <x:c r="O9" s="42"/>
      <x:c r="P9" s="42" t="str">
        <x:f>IF(AND(ISNUMBER(O9),ISNUMBER(N9)),N9-O9,"")</x:f>
      </x:c>
      <x:c r="Q9" s="42" t="n">
        <x:f>IF(E9="cast",J9-INDEX('Rules'!$G$15:$G$23,MATCH(F9,'Rules'!$F$15:$F$23,0)),"")</x:f>
        <x:v>0</x:v>
      </x:c>
    </x:row>
    <x:row r="10" ht="22" customHeight="1">
      <x:c r="A10" s="2" t="str">
        <x:v>PRE03</x:v>
      </x:c>
      <x:c r="B10" s="50" t="n">
        <x:v>0</x:v>
      </x:c>
      <x:c r="C10" s="2" t="str">
        <x:v>Dane</x:v>
      </x:c>
      <x:c r="D10" s="2" t="str">
        <x:v>Day 1 07:58:30</x:v>
      </x:c>
      <x:c r="E10" s="2" t="str">
        <x:v>cast</x:v>
      </x:c>
      <x:c r="F10" s="2" t="str">
        <x:v>Interpose</x:v>
      </x:c>
      <x:c r="G10" s="31"/>
      <x:c r="H10" s="31" t="n">
        <x:f>'Rules'!I11</x:f>
        <x:v>80</x:v>
      </x:c>
      <x:c r="I10" s="31" t="str">
        <x:f>IF(AND(ISNUMBER(G10),ISNUMBER(H10)),H10-G10,"")</x:f>
      </x:c>
      <x:c r="J10" s="31" t="n">
        <x:v>15</x:v>
      </x:c>
      <x:c r="K10" s="31" t="n">
        <x:v>0</x:v>
      </x:c>
      <x:c r="L10" s="31" t="n">
        <x:f>IF(AND(ISNUMBER(K10),ISNUMBER('Rules'!$B$10)),K10*'Rules'!$B$10,"")</x:f>
        <x:v>0</x:v>
      </x:c>
      <x:c r="M10" s="31" t="n">
        <x:f>'Rules'!$B$8+'Rules'!$B$9*('Rules'!G11-1)</x:f>
        <x:v>80</x:v>
      </x:c>
      <x:c r="N10" s="31" t="n">
        <x:f>IF(AND(ISNUMBER(H10),ISNUMBER(J10),ISNUMBER(L10),ISNUMBER(M10)),MIN(M10,H10-J10+L10),"")</x:f>
        <x:v>65</x:v>
      </x:c>
      <x:c r="O10" s="31"/>
      <x:c r="P10" s="31" t="str">
        <x:f>IF(AND(ISNUMBER(O10),ISNUMBER(N10)),N10-O10,"")</x:f>
      </x:c>
      <x:c r="Q10" s="31" t="n">
        <x:f>IF(E10="cast",J10-INDEX('Rules'!$G$15:$G$23,MATCH(F10,'Rules'!$F$15:$F$23,0)),"")</x:f>
        <x:v>0</x:v>
      </x:c>
    </x:row>
    <x:row r="11" ht="22" customHeight="1">
      <x:c r="A11" s="17" t="str">
        <x:v>PRE04</x:v>
      </x:c>
      <x:c r="B11" s="51" t="n">
        <x:v>0</x:v>
      </x:c>
      <x:c r="C11" s="17" t="str">
        <x:v>Tessa</x:v>
      </x:c>
      <x:c r="D11" s="17" t="str">
        <x:v>Day 1 07:58:40</x:v>
      </x:c>
      <x:c r="E11" s="17" t="str">
        <x:v>cast</x:v>
      </x:c>
      <x:c r="F11" s="17" t="str">
        <x:v>Quickstep</x:v>
      </x:c>
      <x:c r="G11" s="42"/>
      <x:c r="H11" s="42" t="n">
        <x:f>N8</x:f>
        <x:v>45</x:v>
      </x:c>
      <x:c r="I11" s="42" t="str">
        <x:f>IF(AND(ISNUMBER(G11),ISNUMBER(H11)),H11-G11,"")</x:f>
      </x:c>
      <x:c r="J11" s="42" t="n">
        <x:v>10</x:v>
      </x:c>
      <x:c r="K11" s="42" t="n">
        <x:v>0</x:v>
      </x:c>
      <x:c r="L11" s="42" t="n">
        <x:f>IF(AND(ISNUMBER(K11),ISNUMBER('Rules'!$B$10)),K11*'Rules'!$B$10,"")</x:f>
        <x:v>0</x:v>
      </x:c>
      <x:c r="M11" s="42" t="n">
        <x:f>'Rules'!$B$8+'Rules'!$B$9*('Rules'!G9-1)</x:f>
        <x:v>60</x:v>
      </x:c>
      <x:c r="N11" s="42" t="n">
        <x:f>IF(AND(ISNUMBER(H11),ISNUMBER(J11),ISNUMBER(L11),ISNUMBER(M11)),MIN(M11,H11-J11+L11),"")</x:f>
        <x:v>35</x:v>
      </x:c>
      <x:c r="O11" s="42"/>
      <x:c r="P11" s="42" t="str">
        <x:f>IF(AND(ISNUMBER(O11),ISNUMBER(N11)),N11-O11,"")</x:f>
      </x:c>
      <x:c r="Q11" s="42" t="n">
        <x:f>IF(E11="cast",J11-INDEX('Rules'!$G$15:$G$23,MATCH(F11,'Rules'!$F$15:$F$23,0)),"")</x:f>
        <x:v>0</x:v>
      </x:c>
    </x:row>
    <x:row r="12" ht="22" customHeight="1">
      <x:c r="A12" s="2" t="str">
        <x:v>PRE05</x:v>
      </x:c>
      <x:c r="B12" s="50" t="n">
        <x:v>0</x:v>
      </x:c>
      <x:c r="C12" s="2" t="str">
        <x:v>Owen</x:v>
      </x:c>
      <x:c r="D12" s="2" t="str">
        <x:v>Day 1 07:58:50</x:v>
      </x:c>
      <x:c r="E12" s="2" t="str">
        <x:v>cast</x:v>
      </x:c>
      <x:c r="F12" s="2" t="str">
        <x:v>Mend</x:v>
      </x:c>
      <x:c r="G12" s="31"/>
      <x:c r="H12" s="31" t="n">
        <x:f>N9</x:f>
        <x:v>70</x:v>
      </x:c>
      <x:c r="I12" s="31" t="str">
        <x:f>IF(AND(ISNUMBER(G12),ISNUMBER(H12)),H12-G12,"")</x:f>
      </x:c>
      <x:c r="J12" s="31" t="n">
        <x:v>20</x:v>
      </x:c>
      <x:c r="K12" s="31" t="n">
        <x:v>0</x:v>
      </x:c>
      <x:c r="L12" s="31" t="n">
        <x:f>IF(AND(ISNUMBER(K12),ISNUMBER('Rules'!$B$10)),K12*'Rules'!$B$10,"")</x:f>
        <x:v>0</x:v>
      </x:c>
      <x:c r="M12" s="31" t="n">
        <x:f>'Rules'!$B$8+'Rules'!$B$9*('Rules'!G10-1)</x:f>
        <x:v>80</x:v>
      </x:c>
      <x:c r="N12" s="31" t="n">
        <x:f>IF(AND(ISNUMBER(H12),ISNUMBER(J12),ISNUMBER(L12),ISNUMBER(M12)),MIN(M12,H12-J12+L12),"")</x:f>
        <x:v>50</x:v>
      </x:c>
      <x:c r="O12" s="31"/>
      <x:c r="P12" s="31" t="str">
        <x:f>IF(AND(ISNUMBER(O12),ISNUMBER(N12)),N12-O12,"")</x:f>
      </x:c>
      <x:c r="Q12" s="31" t="n">
        <x:f>IF(E12="cast",J12-INDEX('Rules'!$G$15:$G$23,MATCH(F12,'Rules'!$F$15:$F$23,0)),"")</x:f>
        <x:v>0</x:v>
      </x:c>
    </x:row>
    <x:row r="13" ht="22" customHeight="1">
      <x:c r="A13" s="17" t="str">
        <x:v>PRE06</x:v>
      </x:c>
      <x:c r="B13" s="51" t="n">
        <x:v>0</x:v>
      </x:c>
      <x:c r="C13" s="17" t="str">
        <x:v>Dane</x:v>
      </x:c>
      <x:c r="D13" s="17" t="str">
        <x:v>Day 1 07:59:00</x:v>
      </x:c>
      <x:c r="E13" s="17" t="str">
        <x:v>cast</x:v>
      </x:c>
      <x:c r="F13" s="17" t="str">
        <x:v>Bulwark</x:v>
      </x:c>
      <x:c r="G13" s="42"/>
      <x:c r="H13" s="42" t="n">
        <x:f>N10</x:f>
        <x:v>65</x:v>
      </x:c>
      <x:c r="I13" s="42" t="str">
        <x:f>IF(AND(ISNUMBER(G13),ISNUMBER(H13)),H13-G13,"")</x:f>
      </x:c>
      <x:c r="J13" s="42" t="n">
        <x:v>20</x:v>
      </x:c>
      <x:c r="K13" s="42" t="n">
        <x:v>0</x:v>
      </x:c>
      <x:c r="L13" s="42" t="n">
        <x:f>IF(AND(ISNUMBER(K13),ISNUMBER('Rules'!$B$10)),K13*'Rules'!$B$10,"")</x:f>
        <x:v>0</x:v>
      </x:c>
      <x:c r="M13" s="42" t="n">
        <x:f>'Rules'!$B$8+'Rules'!$B$9*('Rules'!G11-1)</x:f>
        <x:v>80</x:v>
      </x:c>
      <x:c r="N13" s="42" t="n">
        <x:f>IF(AND(ISNUMBER(H13),ISNUMBER(J13),ISNUMBER(L13),ISNUMBER(M13)),MIN(M13,H13-J13+L13),"")</x:f>
        <x:v>45</x:v>
      </x:c>
      <x:c r="O13" s="42"/>
      <x:c r="P13" s="42" t="str">
        <x:f>IF(AND(ISNUMBER(O13),ISNUMBER(N13)),N13-O13,"")</x:f>
      </x:c>
      <x:c r="Q13" s="42" t="n">
        <x:f>IF(E13="cast",J13-INDEX('Rules'!$G$15:$G$23,MATCH(F13,'Rules'!$F$15:$F$23,0)),"")</x:f>
        <x:v>0</x:v>
      </x:c>
    </x:row>
    <x:row r="14" ht="22" customHeight="1">
      <x:c r="A14" s="2" t="str">
        <x:v>C01E01</x:v>
      </x:c>
      <x:c r="B14" s="50" t="n">
        <x:v>1</x:v>
      </x:c>
      <x:c r="C14" s="2" t="str">
        <x:v>Tessa</x:v>
      </x:c>
      <x:c r="D14" s="2" t="str">
        <x:v>Day 1 08:00:30</x:v>
      </x:c>
      <x:c r="E14" s="2" t="str">
        <x:v>cast</x:v>
      </x:c>
      <x:c r="F14" s="2" t="str">
        <x:v>Quickstep</x:v>
      </x:c>
      <x:c r="G14" s="31" t="n">
        <x:v>35</x:v>
      </x:c>
      <x:c r="H14" s="31" t="n">
        <x:f>N11</x:f>
        <x:v>35</x:v>
      </x:c>
      <x:c r="I14" s="31" t="n">
        <x:f>IF(AND(ISNUMBER(G14),ISNUMBER(H14)),H14-G14,"")</x:f>
        <x:v>0</x:v>
      </x:c>
      <x:c r="J14" s="31" t="n">
        <x:v>10</x:v>
      </x:c>
      <x:c r="K14" s="31" t="n">
        <x:v>0</x:v>
      </x:c>
      <x:c r="L14" s="31" t="n">
        <x:f>IF(AND(ISNUMBER(K14),ISNUMBER('Rules'!$B$10)),K14*'Rules'!$B$10,"")</x:f>
        <x:v>0</x:v>
      </x:c>
      <x:c r="M14" s="31" t="n">
        <x:f>'Rules'!$B$8+'Rules'!$B$9*('Rules'!G9-1)</x:f>
        <x:v>60</x:v>
      </x:c>
      <x:c r="N14" s="31" t="n">
        <x:f>IF(AND(ISNUMBER(H14),ISNUMBER(J14),ISNUMBER(L14),ISNUMBER(M14)),MIN(M14,H14-J14+L14),"")</x:f>
        <x:v>25</x:v>
      </x:c>
      <x:c r="O14" s="31" t="n">
        <x:v>25</x:v>
      </x:c>
      <x:c r="P14" s="31" t="n">
        <x:f>IF(AND(ISNUMBER(O14),ISNUMBER(N14)),N14-O14,"")</x:f>
        <x:v>0</x:v>
      </x:c>
      <x:c r="Q14" s="31" t="n">
        <x:f>IF(E14="cast",J14-INDEX('Rules'!$G$15:$G$23,MATCH(F14,'Rules'!$F$15:$F$23,0)),"")</x:f>
        <x:v>0</x:v>
      </x:c>
    </x:row>
    <x:row r="15" ht="22" customHeight="1">
      <x:c r="A15" s="17" t="str">
        <x:v>C01E02</x:v>
      </x:c>
      <x:c r="B15" s="51" t="n">
        <x:v>1</x:v>
      </x:c>
      <x:c r="C15" s="17" t="str">
        <x:v>Kip</x:v>
      </x:c>
      <x:c r="D15" s="17" t="str">
        <x:v>Day 1 08:00:45</x:v>
      </x:c>
      <x:c r="E15" s="17" t="str">
        <x:v>cast</x:v>
      </x:c>
      <x:c r="F15" s="17" t="str">
        <x:v>Override</x:v>
      </x:c>
      <x:c r="G15" s="42" t="n">
        <x:v>40</x:v>
      </x:c>
      <x:c r="H15" s="42" t="n">
        <x:f>'Rules'!I8</x:f>
        <x:v>40</x:v>
      </x:c>
      <x:c r="I15" s="42" t="n">
        <x:f>IF(AND(ISNUMBER(G15),ISNUMBER(H15)),H15-G15,"")</x:f>
        <x:v>0</x:v>
      </x:c>
      <x:c r="J15" s="42" t="n">
        <x:v>10</x:v>
      </x:c>
      <x:c r="K15" s="42" t="n">
        <x:v>0</x:v>
      </x:c>
      <x:c r="L15" s="42" t="n">
        <x:f>IF(AND(ISNUMBER(K15),ISNUMBER('Rules'!$B$10)),K15*'Rules'!$B$10,"")</x:f>
        <x:v>0</x:v>
      </x:c>
      <x:c r="M15" s="42" t="n">
        <x:f>'Rules'!$B$8+'Rules'!$B$9*('Rules'!G8-1)</x:f>
        <x:v>40</x:v>
      </x:c>
      <x:c r="N15" s="42" t="n">
        <x:f>IF(AND(ISNUMBER(H15),ISNUMBER(J15),ISNUMBER(L15),ISNUMBER(M15)),MIN(M15,H15-J15+L15),"")</x:f>
        <x:v>30</x:v>
      </x:c>
      <x:c r="O15" s="42" t="n">
        <x:v>30</x:v>
      </x:c>
      <x:c r="P15" s="42" t="n">
        <x:f>IF(AND(ISNUMBER(O15),ISNUMBER(N15)),N15-O15,"")</x:f>
        <x:v>0</x:v>
      </x:c>
      <x:c r="Q15" s="42" t="n">
        <x:f>IF(E15="cast",J15-INDEX('Rules'!$G$15:$G$23,MATCH(F15,'Rules'!$F$15:$F$23,0)),"")</x:f>
        <x:v>0</x:v>
      </x:c>
    </x:row>
    <x:row r="16" ht="22" customHeight="1">
      <x:c r="A16" s="2" t="str">
        <x:v>C01E03</x:v>
      </x:c>
      <x:c r="B16" s="50" t="n">
        <x:v>1</x:v>
      </x:c>
      <x:c r="C16" s="2" t="str">
        <x:v>Dane</x:v>
      </x:c>
      <x:c r="D16" s="2" t="str">
        <x:v>Day 1 08:01:30</x:v>
      </x:c>
      <x:c r="E16" s="2" t="str">
        <x:v>cast</x:v>
      </x:c>
      <x:c r="F16" s="2" t="str">
        <x:v>Bulwark</x:v>
      </x:c>
      <x:c r="G16" s="31" t="n">
        <x:v>45</x:v>
      </x:c>
      <x:c r="H16" s="31" t="n">
        <x:f>N13</x:f>
        <x:v>45</x:v>
      </x:c>
      <x:c r="I16" s="31" t="n">
        <x:f>IF(AND(ISNUMBER(G16),ISNUMBER(H16)),H16-G16,"")</x:f>
        <x:v>0</x:v>
      </x:c>
      <x:c r="J16" s="31" t="n">
        <x:v>20</x:v>
      </x:c>
      <x:c r="K16" s="31" t="n">
        <x:v>0</x:v>
      </x:c>
      <x:c r="L16" s="31" t="n">
        <x:f>IF(AND(ISNUMBER(K16),ISNUMBER('Rules'!$B$10)),K16*'Rules'!$B$10,"")</x:f>
        <x:v>0</x:v>
      </x:c>
      <x:c r="M16" s="31" t="n">
        <x:f>'Rules'!$B$8+'Rules'!$B$9*('Rules'!G11-1)</x:f>
        <x:v>80</x:v>
      </x:c>
      <x:c r="N16" s="31" t="n">
        <x:f>IF(AND(ISNUMBER(H16),ISNUMBER(J16),ISNUMBER(L16),ISNUMBER(M16)),MIN(M16,H16-J16+L16),"")</x:f>
        <x:v>25</x:v>
      </x:c>
      <x:c r="O16" s="31" t="n">
        <x:v>25</x:v>
      </x:c>
      <x:c r="P16" s="31" t="n">
        <x:f>IF(AND(ISNUMBER(O16),ISNUMBER(N16)),N16-O16,"")</x:f>
        <x:v>0</x:v>
      </x:c>
      <x:c r="Q16" s="31" t="n">
        <x:f>IF(E16="cast",J16-INDEX('Rules'!$G$15:$G$23,MATCH(F16,'Rules'!$F$15:$F$23,0)),"")</x:f>
        <x:v>0</x:v>
      </x:c>
    </x:row>
    <x:row r="17" ht="22" customHeight="1">
      <x:c r="A17" s="17" t="str">
        <x:v>C01E04</x:v>
      </x:c>
      <x:c r="B17" s="51" t="n">
        <x:v>1</x:v>
      </x:c>
      <x:c r="C17" s="17" t="str">
        <x:v>Kip</x:v>
      </x:c>
      <x:c r="D17" s="17" t="str">
        <x:v>Day 1 08:01:45</x:v>
      </x:c>
      <x:c r="E17" s="17" t="str">
        <x:v>cast</x:v>
      </x:c>
      <x:c r="F17" s="17" t="str">
        <x:v>Override</x:v>
      </x:c>
      <x:c r="G17" s="42" t="n">
        <x:v>30</x:v>
      </x:c>
      <x:c r="H17" s="42" t="n">
        <x:f>N15</x:f>
        <x:v>30</x:v>
      </x:c>
      <x:c r="I17" s="42" t="n">
        <x:f>IF(AND(ISNUMBER(G17),ISNUMBER(H17)),H17-G17,"")</x:f>
        <x:v>0</x:v>
      </x:c>
      <x:c r="J17" s="42" t="n">
        <x:v>10</x:v>
      </x:c>
      <x:c r="K17" s="42" t="n">
        <x:v>0</x:v>
      </x:c>
      <x:c r="L17" s="42" t="n">
        <x:f>IF(AND(ISNUMBER(K17),ISNUMBER('Rules'!$B$10)),K17*'Rules'!$B$10,"")</x:f>
        <x:v>0</x:v>
      </x:c>
      <x:c r="M17" s="42" t="n">
        <x:f>'Rules'!$B$8+'Rules'!$B$9*('Rules'!G8-1)</x:f>
        <x:v>40</x:v>
      </x:c>
      <x:c r="N17" s="42" t="n">
        <x:f>IF(AND(ISNUMBER(H17),ISNUMBER(J17),ISNUMBER(L17),ISNUMBER(M17)),MIN(M17,H17-J17+L17),"")</x:f>
        <x:v>20</x:v>
      </x:c>
      <x:c r="O17" s="42" t="n">
        <x:v>20</x:v>
      </x:c>
      <x:c r="P17" s="42" t="n">
        <x:f>IF(AND(ISNUMBER(O17),ISNUMBER(N17)),N17-O17,"")</x:f>
        <x:v>0</x:v>
      </x:c>
      <x:c r="Q17" s="42" t="n">
        <x:f>IF(E17="cast",J17-INDEX('Rules'!$G$15:$G$23,MATCH(F17,'Rules'!$F$15:$F$23,0)),"")</x:f>
        <x:v>0</x:v>
      </x:c>
    </x:row>
    <x:row r="18" ht="22" customHeight="1">
      <x:c r="A18" s="2" t="str">
        <x:v>C01E05</x:v>
      </x:c>
      <x:c r="B18" s="50" t="n">
        <x:v>1</x:v>
      </x:c>
      <x:c r="C18" s="2" t="str">
        <x:v>Owen</x:v>
      </x:c>
      <x:c r="D18" s="2" t="str">
        <x:v>Day 1 08:02:10</x:v>
      </x:c>
      <x:c r="E18" s="2" t="str">
        <x:v>cast</x:v>
      </x:c>
      <x:c r="F18" s="2" t="str">
        <x:v>Mend</x:v>
      </x:c>
      <x:c r="G18" s="31" t="n">
        <x:v>50</x:v>
      </x:c>
      <x:c r="H18" s="31" t="n">
        <x:f>N12</x:f>
        <x:v>50</x:v>
      </x:c>
      <x:c r="I18" s="31" t="n">
        <x:f>IF(AND(ISNUMBER(G18),ISNUMBER(H18)),H18-G18,"")</x:f>
        <x:v>0</x:v>
      </x:c>
      <x:c r="J18" s="31" t="n">
        <x:v>20</x:v>
      </x:c>
      <x:c r="K18" s="31" t="n">
        <x:v>0</x:v>
      </x:c>
      <x:c r="L18" s="31" t="n">
        <x:f>IF(AND(ISNUMBER(K18),ISNUMBER('Rules'!$B$10)),K18*'Rules'!$B$10,"")</x:f>
        <x:v>0</x:v>
      </x:c>
      <x:c r="M18" s="31" t="n">
        <x:f>'Rules'!$B$8+'Rules'!$B$9*('Rules'!G10-1)</x:f>
        <x:v>80</x:v>
      </x:c>
      <x:c r="N18" s="31" t="n">
        <x:f>IF(AND(ISNUMBER(H18),ISNUMBER(J18),ISNUMBER(L18),ISNUMBER(M18)),MIN(M18,H18-J18+L18),"")</x:f>
        <x:v>30</x:v>
      </x:c>
      <x:c r="O18" s="31" t="n">
        <x:v>30</x:v>
      </x:c>
      <x:c r="P18" s="31" t="n">
        <x:f>IF(AND(ISNUMBER(O18),ISNUMBER(N18)),N18-O18,"")</x:f>
        <x:v>0</x:v>
      </x:c>
      <x:c r="Q18" s="31" t="n">
        <x:f>IF(E18="cast",J18-INDEX('Rules'!$G$15:$G$23,MATCH(F18,'Rules'!$F$15:$F$23,0)),"")</x:f>
        <x:v>0</x:v>
      </x:c>
    </x:row>
    <x:row r="19" ht="22" customHeight="1">
      <x:c r="A19" s="17" t="str">
        <x:v>C02E01</x:v>
      </x:c>
      <x:c r="B19" s="51" t="n">
        <x:v>2</x:v>
      </x:c>
      <x:c r="C19" s="17" t="str">
        <x:v>Kip</x:v>
      </x:c>
      <x:c r="D19" s="17" t="str">
        <x:v>Day 1 08:06:10</x:v>
      </x:c>
      <x:c r="E19" s="17" t="str">
        <x:v>cast</x:v>
      </x:c>
      <x:c r="F19" s="17" t="str">
        <x:v>Claim Room</x:v>
      </x:c>
      <x:c r="G19" s="42" t="n">
        <x:v>20</x:v>
      </x:c>
      <x:c r="H19" s="42" t="n">
        <x:f>N17</x:f>
        <x:v>20</x:v>
      </x:c>
      <x:c r="I19" s="42" t="n">
        <x:f>IF(AND(ISNUMBER(G19),ISNUMBER(H19)),H19-G19,"")</x:f>
        <x:v>0</x:v>
      </x:c>
      <x:c r="J19" s="42" t="n">
        <x:v>20</x:v>
      </x:c>
      <x:c r="K19" s="42" t="n">
        <x:v>0</x:v>
      </x:c>
      <x:c r="L19" s="42" t="n">
        <x:f>IF(AND(ISNUMBER(K19),ISNUMBER('Rules'!$B$10)),K19*'Rules'!$B$10,"")</x:f>
        <x:v>0</x:v>
      </x:c>
      <x:c r="M19" s="42" t="n">
        <x:f>'Rules'!$B$8+'Rules'!$B$9*('XP events'!J8-1)</x:f>
        <x:v>45</x:v>
      </x:c>
      <x:c r="N19" s="42" t="n">
        <x:f>IF(AND(ISNUMBER(H19),ISNUMBER(J19),ISNUMBER(L19),ISNUMBER(M19)),MIN(M19,H19-J19+L19),"")</x:f>
        <x:v>0</x:v>
      </x:c>
      <x:c r="O19" s="42" t="n">
        <x:v>0</x:v>
      </x:c>
      <x:c r="P19" s="42" t="n">
        <x:f>IF(AND(ISNUMBER(O19),ISNUMBER(N19)),N19-O19,"")</x:f>
        <x:v>0</x:v>
      </x:c>
      <x:c r="Q19" s="42" t="n">
        <x:f>IF(E19="cast",J19-INDEX('Rules'!$G$15:$G$23,MATCH(F19,'Rules'!$F$15:$F$23,0)),"")</x:f>
        <x:v>0</x:v>
      </x:c>
    </x:row>
    <x:row r="20" ht="22" customHeight="1">
      <x:c r="A20" s="2" t="str">
        <x:v>C02E02</x:v>
      </x:c>
      <x:c r="B20" s="50" t="n">
        <x:v>2</x:v>
      </x:c>
      <x:c r="C20" s="2" t="str">
        <x:v>Kip</x:v>
      </x:c>
      <x:c r="D20" s="2" t="str">
        <x:v>Day 1 08:06:50</x:v>
      </x:c>
      <x:c r="E20" s="2" t="str">
        <x:v>rest</x:v>
      </x:c>
      <x:c r="F20" s="2"/>
      <x:c r="G20" s="31" t="n">
        <x:v>0</x:v>
      </x:c>
      <x:c r="H20" s="31" t="n">
        <x:f>N19</x:f>
        <x:v>0</x:v>
      </x:c>
      <x:c r="I20" s="31" t="n">
        <x:f>IF(AND(ISNUMBER(G20),ISNUMBER(H20)),H20-G20,"")</x:f>
        <x:v>0</x:v>
      </x:c>
      <x:c r="J20" s="31" t="n">
        <x:v>0</x:v>
      </x:c>
      <x:c r="K20" s="31" t="n">
        <x:v>3</x:v>
      </x:c>
      <x:c r="L20" s="31" t="n">
        <x:f>IF(AND(ISNUMBER(K20),ISNUMBER('Rules'!$B$10)),K20*'Rules'!$B$10,"")</x:f>
        <x:v>15</x:v>
      </x:c>
      <x:c r="M20" s="31" t="n">
        <x:f>'Rules'!$B$8+'Rules'!$B$9*('XP events'!J8-1)</x:f>
        <x:v>45</x:v>
      </x:c>
      <x:c r="N20" s="31" t="n">
        <x:f>IF(AND(ISNUMBER(H20),ISNUMBER(J20),ISNUMBER(L20),ISNUMBER(M20)),MIN(M20,H20-J20+L20),"")</x:f>
        <x:v>15</x:v>
      </x:c>
      <x:c r="O20" s="31" t="n">
        <x:v>15</x:v>
      </x:c>
      <x:c r="P20" s="31" t="n">
        <x:f>IF(AND(ISNUMBER(O20),ISNUMBER(N20)),N20-O20,"")</x:f>
        <x:v>0</x:v>
      </x:c>
      <x:c r="Q20" s="31" t="str">
        <x:f>IF(E20="cast",J20-INDEX('Rules'!$G$15:$G$23,MATCH(F20,'Rules'!$F$15:$F$23,0)),"")</x:f>
      </x:c>
    </x:row>
    <x:row r="21" ht="22" customHeight="1">
      <x:c r="A21" s="17" t="str">
        <x:v>C02E03</x:v>
      </x:c>
      <x:c r="B21" s="51" t="n">
        <x:v>2</x:v>
      </x:c>
      <x:c r="C21" s="17" t="str">
        <x:v>Tessa</x:v>
      </x:c>
      <x:c r="D21" s="17" t="str">
        <x:v>Day 1 08:06:50</x:v>
      </x:c>
      <x:c r="E21" s="17" t="str">
        <x:v>rest</x:v>
      </x:c>
      <x:c r="F21" s="17"/>
      <x:c r="G21" s="42" t="n">
        <x:v>25</x:v>
      </x:c>
      <x:c r="H21" s="42" t="n">
        <x:f>N14</x:f>
        <x:v>25</x:v>
      </x:c>
      <x:c r="I21" s="42" t="n">
        <x:f>IF(AND(ISNUMBER(G21),ISNUMBER(H21)),H21-G21,"")</x:f>
        <x:v>0</x:v>
      </x:c>
      <x:c r="J21" s="42" t="n">
        <x:v>0</x:v>
      </x:c>
      <x:c r="K21" s="42" t="n">
        <x:v>7</x:v>
      </x:c>
      <x:c r="L21" s="42" t="n">
        <x:f>IF(AND(ISNUMBER(K21),ISNUMBER('Rules'!$B$10)),K21*'Rules'!$B$10,"")</x:f>
        <x:v>35</x:v>
      </x:c>
      <x:c r="M21" s="42" t="n">
        <x:f>'Rules'!$B$8+'Rules'!$B$9*('XP events'!J9-1)</x:f>
        <x:v>60</x:v>
      </x:c>
      <x:c r="N21" s="42" t="n">
        <x:f>IF(AND(ISNUMBER(H21),ISNUMBER(J21),ISNUMBER(L21),ISNUMBER(M21)),MIN(M21,H21-J21+L21),"")</x:f>
        <x:v>60</x:v>
      </x:c>
      <x:c r="O21" s="42" t="n">
        <x:v>60</x:v>
      </x:c>
      <x:c r="P21" s="42" t="n">
        <x:f>IF(AND(ISNUMBER(O21),ISNUMBER(N21)),N21-O21,"")</x:f>
        <x:v>0</x:v>
      </x:c>
      <x:c r="Q21" s="42" t="str">
        <x:f>IF(E21="cast",J21-INDEX('Rules'!$G$15:$G$23,MATCH(F21,'Rules'!$F$15:$F$23,0)),"")</x:f>
      </x:c>
    </x:row>
    <x:row r="22" ht="22" customHeight="1">
      <x:c r="A22" s="2" t="str">
        <x:v>C02E04</x:v>
      </x:c>
      <x:c r="B22" s="50" t="n">
        <x:v>2</x:v>
      </x:c>
      <x:c r="C22" s="2" t="str">
        <x:v>Owen</x:v>
      </x:c>
      <x:c r="D22" s="2" t="str">
        <x:v>Day 1 08:06:50</x:v>
      </x:c>
      <x:c r="E22" s="2" t="str">
        <x:v>rest</x:v>
      </x:c>
      <x:c r="F22" s="2"/>
      <x:c r="G22" s="31" t="n">
        <x:v>30</x:v>
      </x:c>
      <x:c r="H22" s="31" t="n">
        <x:f>N18</x:f>
        <x:v>30</x:v>
      </x:c>
      <x:c r="I22" s="31" t="n">
        <x:f>IF(AND(ISNUMBER(G22),ISNUMBER(H22)),H22-G22,"")</x:f>
        <x:v>0</x:v>
      </x:c>
      <x:c r="J22" s="31" t="n">
        <x:v>0</x:v>
      </x:c>
      <x:c r="K22" s="31" t="n">
        <x:v>10</x:v>
      </x:c>
      <x:c r="L22" s="31" t="n">
        <x:f>IF(AND(ISNUMBER(K22),ISNUMBER('Rules'!$B$10)),K22*'Rules'!$B$10,"")</x:f>
        <x:v>50</x:v>
      </x:c>
      <x:c r="M22" s="31" t="n">
        <x:f>'Rules'!$B$8+'Rules'!$B$9*('XP events'!J10-1)</x:f>
        <x:v>80</x:v>
      </x:c>
      <x:c r="N22" s="31" t="n">
        <x:f>IF(AND(ISNUMBER(H22),ISNUMBER(J22),ISNUMBER(L22),ISNUMBER(M22)),MIN(M22,H22-J22+L22),"")</x:f>
        <x:v>80</x:v>
      </x:c>
      <x:c r="O22" s="31" t="n">
        <x:v>80</x:v>
      </x:c>
      <x:c r="P22" s="31" t="n">
        <x:f>IF(AND(ISNUMBER(O22),ISNUMBER(N22)),N22-O22,"")</x:f>
        <x:v>0</x:v>
      </x:c>
      <x:c r="Q22" s="31" t="str">
        <x:f>IF(E22="cast",J22-INDEX('Rules'!$G$15:$G$23,MATCH(F22,'Rules'!$F$15:$F$23,0)),"")</x:f>
      </x:c>
    </x:row>
    <x:row r="23" ht="22" customHeight="1">
      <x:c r="A23" s="17" t="str">
        <x:v>C02E05</x:v>
      </x:c>
      <x:c r="B23" s="51" t="n">
        <x:v>2</x:v>
      </x:c>
      <x:c r="C23" s="17" t="str">
        <x:v>Kip</x:v>
      </x:c>
      <x:c r="D23" s="17" t="str">
        <x:v>Day 1 08:10:00</x:v>
      </x:c>
      <x:c r="E23" s="17" t="str">
        <x:v>cast</x:v>
      </x:c>
      <x:c r="F23" s="17" t="str">
        <x:v>Sovereign Ward</x:v>
      </x:c>
      <x:c r="G23" s="42" t="n">
        <x:v>15</x:v>
      </x:c>
      <x:c r="H23" s="42" t="n">
        <x:f>N20</x:f>
        <x:v>15</x:v>
      </x:c>
      <x:c r="I23" s="42" t="n">
        <x:f>IF(AND(ISNUMBER(G23),ISNUMBER(H23)),H23-G23,"")</x:f>
        <x:v>0</x:v>
      </x:c>
      <x:c r="J23" s="42" t="n">
        <x:v>15</x:v>
      </x:c>
      <x:c r="K23" s="42" t="n">
        <x:v>0</x:v>
      </x:c>
      <x:c r="L23" s="42" t="n">
        <x:f>IF(AND(ISNUMBER(K23),ISNUMBER('Rules'!$B$10)),K23*'Rules'!$B$10,"")</x:f>
        <x:v>0</x:v>
      </x:c>
      <x:c r="M23" s="42" t="n">
        <x:f>'Rules'!$B$8+'Rules'!$B$9*('XP events'!J8-1)</x:f>
        <x:v>45</x:v>
      </x:c>
      <x:c r="N23" s="42" t="n">
        <x:f>IF(AND(ISNUMBER(H23),ISNUMBER(J23),ISNUMBER(L23),ISNUMBER(M23)),MIN(M23,H23-J23+L23),"")</x:f>
        <x:v>0</x:v>
      </x:c>
      <x:c r="O23" s="42" t="n">
        <x:v>0</x:v>
      </x:c>
      <x:c r="P23" s="42" t="n">
        <x:f>IF(AND(ISNUMBER(O23),ISNUMBER(N23)),N23-O23,"")</x:f>
        <x:v>0</x:v>
      </x:c>
      <x:c r="Q23" s="42" t="n">
        <x:f>IF(E23="cast",J23-INDEX('Rules'!$G$15:$G$23,MATCH(F23,'Rules'!$F$15:$F$23,0)),"")</x:f>
        <x:v>0</x:v>
      </x:c>
    </x:row>
    <x:row r="24" ht="22" customHeight="1">
      <x:c r="A24" s="2" t="str">
        <x:v>C02E06</x:v>
      </x:c>
      <x:c r="B24" s="50" t="n">
        <x:v>2</x:v>
      </x:c>
      <x:c r="C24" s="2" t="str">
        <x:v>Kip</x:v>
      </x:c>
      <x:c r="D24" s="2" t="str">
        <x:v>Day 1 08:11:00</x:v>
      </x:c>
      <x:c r="E24" s="2" t="str">
        <x:v>rest</x:v>
      </x:c>
      <x:c r="F24" s="2"/>
      <x:c r="G24" s="31" t="n">
        <x:v>0</x:v>
      </x:c>
      <x:c r="H24" s="31" t="n">
        <x:f>N23</x:f>
        <x:v>0</x:v>
      </x:c>
      <x:c r="I24" s="31" t="n">
        <x:f>IF(AND(ISNUMBER(G24),ISNUMBER(H24)),H24-G24,"")</x:f>
        <x:v>0</x:v>
      </x:c>
      <x:c r="J24" s="31" t="n">
        <x:v>0</x:v>
      </x:c>
      <x:c r="K24" s="31" t="n">
        <x:v>9</x:v>
      </x:c>
      <x:c r="L24" s="31" t="n">
        <x:f>IF(AND(ISNUMBER(K24),ISNUMBER('Rules'!$B$10)),K24*'Rules'!$B$10,"")</x:f>
        <x:v>45</x:v>
      </x:c>
      <x:c r="M24" s="31" t="n">
        <x:f>'Rules'!$B$8+'Rules'!$B$9*('XP events'!J8-1)</x:f>
        <x:v>45</x:v>
      </x:c>
      <x:c r="N24" s="31" t="n">
        <x:f>IF(AND(ISNUMBER(H24),ISNUMBER(J24),ISNUMBER(L24),ISNUMBER(M24)),MIN(M24,H24-J24+L24),"")</x:f>
        <x:v>45</x:v>
      </x:c>
      <x:c r="O24" s="31" t="n">
        <x:v>45</x:v>
      </x:c>
      <x:c r="P24" s="31" t="n">
        <x:f>IF(AND(ISNUMBER(O24),ISNUMBER(N24)),N24-O24,"")</x:f>
        <x:v>0</x:v>
      </x:c>
      <x:c r="Q24" s="31" t="str">
        <x:f>IF(E24="cast",J24-INDEX('Rules'!$G$15:$G$23,MATCH(F24,'Rules'!$F$15:$F$23,0)),"")</x:f>
      </x:c>
    </x:row>
    <x:row r="25" ht="22" customHeight="1">
      <x:c r="A25" s="17" t="str">
        <x:v>C02E07</x:v>
      </x:c>
      <x:c r="B25" s="51" t="n">
        <x:v>2</x:v>
      </x:c>
      <x:c r="C25" s="17" t="str">
        <x:v>Dane</x:v>
      </x:c>
      <x:c r="D25" s="17" t="str">
        <x:v>Day 1 08:18:00</x:v>
      </x:c>
      <x:c r="E25" s="17" t="str">
        <x:v>rest</x:v>
      </x:c>
      <x:c r="F25" s="17"/>
      <x:c r="G25" s="42" t="n">
        <x:v>25</x:v>
      </x:c>
      <x:c r="H25" s="42" t="n">
        <x:f>N16</x:f>
        <x:v>25</x:v>
      </x:c>
      <x:c r="I25" s="42" t="n">
        <x:f>IF(AND(ISNUMBER(G25),ISNUMBER(H25)),H25-G25,"")</x:f>
        <x:v>0</x:v>
      </x:c>
      <x:c r="J25" s="42" t="n">
        <x:v>0</x:v>
      </x:c>
      <x:c r="K25" s="42" t="n">
        <x:v>11</x:v>
      </x:c>
      <x:c r="L25" s="42" t="n">
        <x:f>IF(AND(ISNUMBER(K25),ISNUMBER('Rules'!$B$10)),K25*'Rules'!$B$10,"")</x:f>
        <x:v>55</x:v>
      </x:c>
      <x:c r="M25" s="42" t="n">
        <x:f>'Rules'!$B$8+'Rules'!$B$9*('XP events'!J11-1)</x:f>
        <x:v>80</x:v>
      </x:c>
      <x:c r="N25" s="42" t="n">
        <x:f>IF(AND(ISNUMBER(H25),ISNUMBER(J25),ISNUMBER(L25),ISNUMBER(M25)),MIN(M25,H25-J25+L25),"")</x:f>
        <x:v>80</x:v>
      </x:c>
      <x:c r="O25" s="42" t="n">
        <x:v>80</x:v>
      </x:c>
      <x:c r="P25" s="42" t="n">
        <x:f>IF(AND(ISNUMBER(O25),ISNUMBER(N25)),N25-O25,"")</x:f>
        <x:v>0</x:v>
      </x:c>
      <x:c r="Q25" s="42" t="str">
        <x:f>IF(E25="cast",J25-INDEX('Rules'!$G$15:$G$23,MATCH(F25,'Rules'!$F$15:$F$23,0)),"")</x:f>
      </x:c>
    </x:row>
    <x:row r="26" ht="22" customHeight="1">
      <x:c r="A26" s="2" t="str">
        <x:v>C03E01</x:v>
      </x:c>
      <x:c r="B26" s="50" t="n">
        <x:v>3</x:v>
      </x:c>
      <x:c r="C26" s="2" t="str">
        <x:v>Tessa</x:v>
      </x:c>
      <x:c r="D26" s="2" t="str">
        <x:v>Day 1 09:10:00</x:v>
      </x:c>
      <x:c r="E26" s="2" t="str">
        <x:v>cast</x:v>
      </x:c>
      <x:c r="F26" s="2" t="str">
        <x:v>Trail Sight</x:v>
      </x:c>
      <x:c r="G26" s="31" t="n">
        <x:v>60</x:v>
      </x:c>
      <x:c r="H26" s="31" t="n">
        <x:f>N21</x:f>
        <x:v>60</x:v>
      </x:c>
      <x:c r="I26" s="31" t="n">
        <x:f>IF(AND(ISNUMBER(G26),ISNUMBER(H26)),H26-G26,"")</x:f>
        <x:v>0</x:v>
      </x:c>
      <x:c r="J26" s="31" t="n">
        <x:v>15</x:v>
      </x:c>
      <x:c r="K26" s="31" t="n">
        <x:v>0</x:v>
      </x:c>
      <x:c r="L26" s="31" t="n">
        <x:f>IF(AND(ISNUMBER(K26),ISNUMBER('Rules'!$B$10)),K26*'Rules'!$B$10,"")</x:f>
        <x:v>0</x:v>
      </x:c>
      <x:c r="M26" s="31" t="n">
        <x:f>'Rules'!$B$8+'Rules'!$B$9*('XP events'!J9-1)</x:f>
        <x:v>60</x:v>
      </x:c>
      <x:c r="N26" s="31" t="n">
        <x:f>IF(AND(ISNUMBER(H26),ISNUMBER(J26),ISNUMBER(L26),ISNUMBER(M26)),MIN(M26,H26-J26+L26),"")</x:f>
        <x:v>45</x:v>
      </x:c>
      <x:c r="O26" s="31" t="n">
        <x:v>45</x:v>
      </x:c>
      <x:c r="P26" s="31" t="n">
        <x:f>IF(AND(ISNUMBER(O26),ISNUMBER(N26)),N26-O26,"")</x:f>
        <x:v>0</x:v>
      </x:c>
      <x:c r="Q26" s="31" t="n">
        <x:f>IF(E26="cast",J26-INDEX('Rules'!$G$15:$G$23,MATCH(F26,'Rules'!$F$15:$F$23,0)),"")</x:f>
        <x:v>0</x:v>
      </x:c>
    </x:row>
    <x:row r="27" ht="22" customHeight="1">
      <x:c r="A27" s="17" t="str">
        <x:v>C03E02</x:v>
      </x:c>
      <x:c r="B27" s="51" t="n">
        <x:v>3</x:v>
      </x:c>
      <x:c r="C27" s="17" t="str">
        <x:v>Kip</x:v>
      </x:c>
      <x:c r="D27" s="17" t="str">
        <x:v>Day 1 09:30:00</x:v>
      </x:c>
      <x:c r="E27" s="17" t="str">
        <x:v>cast</x:v>
      </x:c>
      <x:c r="F27" s="17" t="str">
        <x:v>Sovereign Ward</x:v>
      </x:c>
      <x:c r="G27" s="42" t="n">
        <x:v>45</x:v>
      </x:c>
      <x:c r="H27" s="42" t="n">
        <x:f>N24</x:f>
        <x:v>45</x:v>
      </x:c>
      <x:c r="I27" s="42" t="n">
        <x:f>IF(AND(ISNUMBER(G27),ISNUMBER(H27)),H27-G27,"")</x:f>
        <x:v>0</x:v>
      </x:c>
      <x:c r="J27" s="42" t="n">
        <x:v>15</x:v>
      </x:c>
      <x:c r="K27" s="42" t="n">
        <x:v>0</x:v>
      </x:c>
      <x:c r="L27" s="42" t="n">
        <x:f>IF(AND(ISNUMBER(K27),ISNUMBER('Rules'!$B$10)),K27*'Rules'!$B$10,"")</x:f>
        <x:v>0</x:v>
      </x:c>
      <x:c r="M27" s="42" t="n">
        <x:f>'Rules'!$B$8+'Rules'!$B$9*('XP events'!J8-1)</x:f>
        <x:v>45</x:v>
      </x:c>
      <x:c r="N27" s="42" t="n">
        <x:f>IF(AND(ISNUMBER(H27),ISNUMBER(J27),ISNUMBER(L27),ISNUMBER(M27)),MIN(M27,H27-J27+L27),"")</x:f>
        <x:v>30</x:v>
      </x:c>
      <x:c r="O27" s="42" t="n">
        <x:v>30</x:v>
      </x:c>
      <x:c r="P27" s="42" t="n">
        <x:f>IF(AND(ISNUMBER(O27),ISNUMBER(N27)),N27-O27,"")</x:f>
        <x:v>0</x:v>
      </x:c>
      <x:c r="Q27" s="42" t="n">
        <x:f>IF(E27="cast",J27-INDEX('Rules'!$G$15:$G$23,MATCH(F27,'Rules'!$F$15:$F$23,0)),"")</x:f>
        <x:v>0</x:v>
      </x:c>
    </x:row>
    <x:row r="28" ht="22" customHeight="1">
      <x:c r="A28" s="2" t="str">
        <x:v>C03E03</x:v>
      </x:c>
      <x:c r="B28" s="50" t="n">
        <x:v>3</x:v>
      </x:c>
      <x:c r="C28" s="2" t="str">
        <x:v>Dane</x:v>
      </x:c>
      <x:c r="D28" s="2" t="str">
        <x:v>Day 1 09:30:03</x:v>
      </x:c>
      <x:c r="E28" s="2" t="str">
        <x:v>cast</x:v>
      </x:c>
      <x:c r="F28" s="2" t="str">
        <x:v>Interpose</x:v>
      </x:c>
      <x:c r="G28" s="31" t="n">
        <x:v>80</x:v>
      </x:c>
      <x:c r="H28" s="31" t="n">
        <x:f>N25</x:f>
        <x:v>80</x:v>
      </x:c>
      <x:c r="I28" s="31" t="n">
        <x:f>IF(AND(ISNUMBER(G28),ISNUMBER(H28)),H28-G28,"")</x:f>
        <x:v>0</x:v>
      </x:c>
      <x:c r="J28" s="31" t="n">
        <x:v>15</x:v>
      </x:c>
      <x:c r="K28" s="31" t="n">
        <x:v>0</x:v>
      </x:c>
      <x:c r="L28" s="31" t="n">
        <x:f>IF(AND(ISNUMBER(K28),ISNUMBER('Rules'!$B$10)),K28*'Rules'!$B$10,"")</x:f>
        <x:v>0</x:v>
      </x:c>
      <x:c r="M28" s="31" t="n">
        <x:f>'Rules'!$B$8+'Rules'!$B$9*('XP events'!J11-1)</x:f>
        <x:v>80</x:v>
      </x:c>
      <x:c r="N28" s="31" t="n">
        <x:f>IF(AND(ISNUMBER(H28),ISNUMBER(J28),ISNUMBER(L28),ISNUMBER(M28)),MIN(M28,H28-J28+L28),"")</x:f>
        <x:v>65</x:v>
      </x:c>
      <x:c r="O28" s="31" t="n">
        <x:v>65</x:v>
      </x:c>
      <x:c r="P28" s="31" t="n">
        <x:f>IF(AND(ISNUMBER(O28),ISNUMBER(N28)),N28-O28,"")</x:f>
        <x:v>0</x:v>
      </x:c>
      <x:c r="Q28" s="31" t="n">
        <x:f>IF(E28="cast",J28-INDEX('Rules'!$G$15:$G$23,MATCH(F28,'Rules'!$F$15:$F$23,0)),"")</x:f>
        <x:v>0</x:v>
      </x:c>
    </x:row>
    <x:row r="29" ht="22" customHeight="1">
      <x:c r="A29" s="17" t="str">
        <x:v>C03E04</x:v>
      </x:c>
      <x:c r="B29" s="51" t="n">
        <x:v>3</x:v>
      </x:c>
      <x:c r="C29" s="17" t="str">
        <x:v>Owen</x:v>
      </x:c>
      <x:c r="D29" s="17" t="str">
        <x:v>Day 1 09:45:00</x:v>
      </x:c>
      <x:c r="E29" s="17" t="str">
        <x:v>cast</x:v>
      </x:c>
      <x:c r="F29" s="17" t="str">
        <x:v>Staunch</x:v>
      </x:c>
      <x:c r="G29" s="42" t="n">
        <x:v>80</x:v>
      </x:c>
      <x:c r="H29" s="42" t="n">
        <x:f>N22</x:f>
        <x:v>80</x:v>
      </x:c>
      <x:c r="I29" s="42" t="n">
        <x:f>IF(AND(ISNUMBER(G29),ISNUMBER(H29)),H29-G29,"")</x:f>
        <x:v>0</x:v>
      </x:c>
      <x:c r="J29" s="42" t="n">
        <x:v>10</x:v>
      </x:c>
      <x:c r="K29" s="42" t="n">
        <x:v>0</x:v>
      </x:c>
      <x:c r="L29" s="42" t="n">
        <x:f>IF(AND(ISNUMBER(K29),ISNUMBER('Rules'!$B$10)),K29*'Rules'!$B$10,"")</x:f>
        <x:v>0</x:v>
      </x:c>
      <x:c r="M29" s="42" t="n">
        <x:f>'Rules'!$B$8+'Rules'!$B$9*('XP events'!J10-1)</x:f>
        <x:v>80</x:v>
      </x:c>
      <x:c r="N29" s="42" t="n">
        <x:f>IF(AND(ISNUMBER(H29),ISNUMBER(J29),ISNUMBER(L29),ISNUMBER(M29)),MIN(M29,H29-J29+L29),"")</x:f>
        <x:v>70</x:v>
      </x:c>
      <x:c r="O29" s="42" t="n">
        <x:v>70</x:v>
      </x:c>
      <x:c r="P29" s="42" t="n">
        <x:f>IF(AND(ISNUMBER(O29),ISNUMBER(N29)),N29-O29,"")</x:f>
        <x:v>0</x:v>
      </x:c>
      <x:c r="Q29" s="42" t="n">
        <x:f>IF(E29="cast",J29-INDEX('Rules'!$G$15:$G$23,MATCH(F29,'Rules'!$F$15:$F$23,0)),"")</x:f>
        <x:v>0</x:v>
      </x:c>
    </x:row>
    <x:row r="30" ht="22" customHeight="1">
      <x:c r="A30" s="2" t="str">
        <x:v>C04E01</x:v>
      </x:c>
      <x:c r="B30" s="50" t="n">
        <x:v>4</x:v>
      </x:c>
      <x:c r="C30" s="2" t="str">
        <x:v>Owen</x:v>
      </x:c>
      <x:c r="D30" s="2" t="str">
        <x:v>Day 1 10:05:00</x:v>
      </x:c>
      <x:c r="E30" s="2" t="str">
        <x:v>cast</x:v>
      </x:c>
      <x:c r="F30" s="2" t="str">
        <x:v>Mend</x:v>
      </x:c>
      <x:c r="G30" s="31" t="n">
        <x:v>70</x:v>
      </x:c>
      <x:c r="H30" s="31" t="n">
        <x:f>N29</x:f>
        <x:v>70</x:v>
      </x:c>
      <x:c r="I30" s="31" t="n">
        <x:f>IF(AND(ISNUMBER(G30),ISNUMBER(H30)),H30-G30,"")</x:f>
        <x:v>0</x:v>
      </x:c>
      <x:c r="J30" s="31" t="n">
        <x:v>20</x:v>
      </x:c>
      <x:c r="K30" s="31" t="n">
        <x:v>0</x:v>
      </x:c>
      <x:c r="L30" s="31" t="n">
        <x:f>IF(AND(ISNUMBER(K30),ISNUMBER('Rules'!$B$10)),K30*'Rules'!$B$10,"")</x:f>
        <x:v>0</x:v>
      </x:c>
      <x:c r="M30" s="31" t="n">
        <x:f>'Rules'!$B$8+'Rules'!$B$9*('XP events'!J14-1)</x:f>
        <x:v>80</x:v>
      </x:c>
      <x:c r="N30" s="31" t="n">
        <x:f>IF(AND(ISNUMBER(H30),ISNUMBER(J30),ISNUMBER(L30),ISNUMBER(M30)),MIN(M30,H30-J30+L30),"")</x:f>
        <x:v>50</x:v>
      </x:c>
      <x:c r="O30" s="31" t="n">
        <x:v>50</x:v>
      </x:c>
      <x:c r="P30" s="31" t="n">
        <x:f>IF(AND(ISNUMBER(O30),ISNUMBER(N30)),N30-O30,"")</x:f>
        <x:v>0</x:v>
      </x:c>
      <x:c r="Q30" s="31" t="n">
        <x:f>IF(E30="cast",J30-INDEX('Rules'!$G$15:$G$23,MATCH(F30,'Rules'!$F$15:$F$23,0)),"")</x:f>
        <x:v>0</x:v>
      </x:c>
    </x:row>
    <x:row r="31" ht="22" customHeight="1">
      <x:c r="A31" s="17" t="str">
        <x:v>C04E02</x:v>
      </x:c>
      <x:c r="B31" s="51" t="n">
        <x:v>4</x:v>
      </x:c>
      <x:c r="C31" s="17" t="str">
        <x:v>Tessa</x:v>
      </x:c>
      <x:c r="D31" s="17" t="str">
        <x:v>Day 1 10:10:00</x:v>
      </x:c>
      <x:c r="E31" s="17" t="str">
        <x:v>cast</x:v>
      </x:c>
      <x:c r="F31" s="17" t="str">
        <x:v>Trail Sight</x:v>
      </x:c>
      <x:c r="G31" s="42" t="n">
        <x:v>45</x:v>
      </x:c>
      <x:c r="H31" s="42" t="n">
        <x:f>N26</x:f>
        <x:v>45</x:v>
      </x:c>
      <x:c r="I31" s="42" t="n">
        <x:f>IF(AND(ISNUMBER(G31),ISNUMBER(H31)),H31-G31,"")</x:f>
        <x:v>0</x:v>
      </x:c>
      <x:c r="J31" s="42" t="n">
        <x:v>15</x:v>
      </x:c>
      <x:c r="K31" s="42" t="n">
        <x:v>0</x:v>
      </x:c>
      <x:c r="L31" s="42" t="n">
        <x:f>IF(AND(ISNUMBER(K31),ISNUMBER('Rules'!$B$10)),K31*'Rules'!$B$10,"")</x:f>
        <x:v>0</x:v>
      </x:c>
      <x:c r="M31" s="42" t="n">
        <x:f>'Rules'!$B$8+'Rules'!$B$9*('XP events'!J13-1)</x:f>
        <x:v>60</x:v>
      </x:c>
      <x:c r="N31" s="42" t="n">
        <x:f>IF(AND(ISNUMBER(H31),ISNUMBER(J31),ISNUMBER(L31),ISNUMBER(M31)),MIN(M31,H31-J31+L31),"")</x:f>
        <x:v>30</x:v>
      </x:c>
      <x:c r="O31" s="42" t="n">
        <x:v>30</x:v>
      </x:c>
      <x:c r="P31" s="42" t="n">
        <x:f>IF(AND(ISNUMBER(O31),ISNUMBER(N31)),N31-O31,"")</x:f>
        <x:v>0</x:v>
      </x:c>
      <x:c r="Q31" s="42" t="n">
        <x:f>IF(E31="cast",J31-INDEX('Rules'!$G$15:$G$23,MATCH(F31,'Rules'!$F$15:$F$23,0)),"")</x:f>
        <x:v>0</x:v>
      </x:c>
    </x:row>
    <x:row r="32" ht="22" customHeight="1">
      <x:c r="A32" s="2" t="str">
        <x:v>C04E03</x:v>
      </x:c>
      <x:c r="B32" s="50" t="n">
        <x:v>4</x:v>
      </x:c>
      <x:c r="C32" s="2" t="str">
        <x:v>Kip</x:v>
      </x:c>
      <x:c r="D32" s="2" t="str">
        <x:v>Day 1 10:15:00</x:v>
      </x:c>
      <x:c r="E32" s="2" t="str">
        <x:v>cast</x:v>
      </x:c>
      <x:c r="F32" s="2" t="str">
        <x:v>Override</x:v>
      </x:c>
      <x:c r="G32" s="31" t="n">
        <x:v>30</x:v>
      </x:c>
      <x:c r="H32" s="31" t="n">
        <x:f>N27</x:f>
        <x:v>30</x:v>
      </x:c>
      <x:c r="I32" s="31" t="n">
        <x:f>IF(AND(ISNUMBER(G32),ISNUMBER(H32)),H32-G32,"")</x:f>
        <x:v>0</x:v>
      </x:c>
      <x:c r="J32" s="31" t="n">
        <x:v>10</x:v>
      </x:c>
      <x:c r="K32" s="31" t="n">
        <x:v>0</x:v>
      </x:c>
      <x:c r="L32" s="31" t="n">
        <x:f>IF(AND(ISNUMBER(K32),ISNUMBER('Rules'!$B$10)),K32*'Rules'!$B$10,"")</x:f>
        <x:v>0</x:v>
      </x:c>
      <x:c r="M32" s="31" t="n">
        <x:f>'Rules'!$B$8+'Rules'!$B$9*('XP events'!J12-1)</x:f>
        <x:v>45</x:v>
      </x:c>
      <x:c r="N32" s="31" t="n">
        <x:f>IF(AND(ISNUMBER(H32),ISNUMBER(J32),ISNUMBER(L32),ISNUMBER(M32)),MIN(M32,H32-J32+L32),"")</x:f>
        <x:v>20</x:v>
      </x:c>
      <x:c r="O32" s="31" t="n">
        <x:v>20</x:v>
      </x:c>
      <x:c r="P32" s="31" t="n">
        <x:f>IF(AND(ISNUMBER(O32),ISNUMBER(N32)),N32-O32,"")</x:f>
        <x:v>0</x:v>
      </x:c>
      <x:c r="Q32" s="31" t="n">
        <x:f>IF(E32="cast",J32-INDEX('Rules'!$G$15:$G$23,MATCH(F32,'Rules'!$F$15:$F$23,0)),"")</x:f>
        <x:v>0</x:v>
      </x:c>
    </x:row>
    <x:row r="33" ht="22" customHeight="1">
      <x:c r="A33" s="17" t="str">
        <x:v>C04E04</x:v>
      </x:c>
      <x:c r="B33" s="51" t="n">
        <x:v>4</x:v>
      </x:c>
      <x:c r="C33" s="17" t="str">
        <x:v>Tessa</x:v>
      </x:c>
      <x:c r="D33" s="17" t="str">
        <x:v>Day 1 10:15:02</x:v>
      </x:c>
      <x:c r="E33" s="17" t="str">
        <x:v>cast</x:v>
      </x:c>
      <x:c r="F33" s="17" t="str">
        <x:v>Quickstep</x:v>
      </x:c>
      <x:c r="G33" s="42" t="n">
        <x:v>30</x:v>
      </x:c>
      <x:c r="H33" s="42" t="n">
        <x:f>N31</x:f>
        <x:v>30</x:v>
      </x:c>
      <x:c r="I33" s="42" t="n">
        <x:f>IF(AND(ISNUMBER(G33),ISNUMBER(H33)),H33-G33,"")</x:f>
        <x:v>0</x:v>
      </x:c>
      <x:c r="J33" s="42" t="n">
        <x:v>10</x:v>
      </x:c>
      <x:c r="K33" s="42" t="n">
        <x:v>0</x:v>
      </x:c>
      <x:c r="L33" s="42" t="n">
        <x:f>IF(AND(ISNUMBER(K33),ISNUMBER('Rules'!$B$10)),K33*'Rules'!$B$10,"")</x:f>
        <x:v>0</x:v>
      </x:c>
      <x:c r="M33" s="42" t="n">
        <x:f>'Rules'!$B$8+'Rules'!$B$9*('XP events'!J13-1)</x:f>
        <x:v>60</x:v>
      </x:c>
      <x:c r="N33" s="42" t="n">
        <x:f>IF(AND(ISNUMBER(H33),ISNUMBER(J33),ISNUMBER(L33),ISNUMBER(M33)),MIN(M33,H33-J33+L33),"")</x:f>
        <x:v>20</x:v>
      </x:c>
      <x:c r="O33" s="42" t="n">
        <x:v>20</x:v>
      </x:c>
      <x:c r="P33" s="42" t="n">
        <x:f>IF(AND(ISNUMBER(O33),ISNUMBER(N33)),N33-O33,"")</x:f>
        <x:v>0</x:v>
      </x:c>
      <x:c r="Q33" s="42" t="n">
        <x:f>IF(E33="cast",J33-INDEX('Rules'!$G$15:$G$23,MATCH(F33,'Rules'!$F$15:$F$23,0)),"")</x:f>
        <x:v>0</x:v>
      </x:c>
    </x:row>
    <x:row r="34" ht="22" customHeight="1">
      <x:c r="A34" s="2" t="str">
        <x:v>C04E05</x:v>
      </x:c>
      <x:c r="B34" s="50" t="n">
        <x:v>4</x:v>
      </x:c>
      <x:c r="C34" s="2" t="str">
        <x:v>Dane</x:v>
      </x:c>
      <x:c r="D34" s="2" t="str">
        <x:v>Day 1 10:15:05</x:v>
      </x:c>
      <x:c r="E34" s="2" t="str">
        <x:v>cast</x:v>
      </x:c>
      <x:c r="F34" s="2" t="str">
        <x:v>Bulwark</x:v>
      </x:c>
      <x:c r="G34" s="31" t="n">
        <x:v>65</x:v>
      </x:c>
      <x:c r="H34" s="31" t="n">
        <x:f>N28</x:f>
        <x:v>65</x:v>
      </x:c>
      <x:c r="I34" s="31" t="n">
        <x:f>IF(AND(ISNUMBER(G34),ISNUMBER(H34)),H34-G34,"")</x:f>
        <x:v>0</x:v>
      </x:c>
      <x:c r="J34" s="31" t="n">
        <x:v>20</x:v>
      </x:c>
      <x:c r="K34" s="31" t="n">
        <x:v>0</x:v>
      </x:c>
      <x:c r="L34" s="31" t="n">
        <x:f>IF(AND(ISNUMBER(K34),ISNUMBER('Rules'!$B$10)),K34*'Rules'!$B$10,"")</x:f>
        <x:v>0</x:v>
      </x:c>
      <x:c r="M34" s="31" t="n">
        <x:f>'Rules'!$B$8+'Rules'!$B$9*('XP events'!J15-1)</x:f>
        <x:v>80</x:v>
      </x:c>
      <x:c r="N34" s="31" t="n">
        <x:f>IF(AND(ISNUMBER(H34),ISNUMBER(J34),ISNUMBER(L34),ISNUMBER(M34)),MIN(M34,H34-J34+L34),"")</x:f>
        <x:v>45</x:v>
      </x:c>
      <x:c r="O34" s="31" t="n">
        <x:v>45</x:v>
      </x:c>
      <x:c r="P34" s="31" t="n">
        <x:f>IF(AND(ISNUMBER(O34),ISNUMBER(N34)),N34-O34,"")</x:f>
        <x:v>0</x:v>
      </x:c>
      <x:c r="Q34" s="31" t="n">
        <x:f>IF(E34="cast",J34-INDEX('Rules'!$G$15:$G$23,MATCH(F34,'Rules'!$F$15:$F$23,0)),"")</x:f>
        <x:v>0</x:v>
      </x:c>
    </x:row>
    <x:row r="35" ht="22" customHeight="1">
      <x:c r="A35" s="17" t="str">
        <x:v>C04E06</x:v>
      </x:c>
      <x:c r="B35" s="51" t="n">
        <x:v>4</x:v>
      </x:c>
      <x:c r="C35" s="17" t="str">
        <x:v>Kip</x:v>
      </x:c>
      <x:c r="D35" s="17" t="str">
        <x:v>Day 1 10:15:15</x:v>
      </x:c>
      <x:c r="E35" s="17" t="str">
        <x:v>cast</x:v>
      </x:c>
      <x:c r="F35" s="17" t="str">
        <x:v>Sovereign Ward</x:v>
      </x:c>
      <x:c r="G35" s="42" t="n">
        <x:v>20</x:v>
      </x:c>
      <x:c r="H35" s="42" t="n">
        <x:f>N32</x:f>
        <x:v>20</x:v>
      </x:c>
      <x:c r="I35" s="42" t="n">
        <x:f>IF(AND(ISNUMBER(G35),ISNUMBER(H35)),H35-G35,"")</x:f>
        <x:v>0</x:v>
      </x:c>
      <x:c r="J35" s="42" t="n">
        <x:v>15</x:v>
      </x:c>
      <x:c r="K35" s="42" t="n">
        <x:v>0</x:v>
      </x:c>
      <x:c r="L35" s="42" t="n">
        <x:f>IF(AND(ISNUMBER(K35),ISNUMBER('Rules'!$B$10)),K35*'Rules'!$B$10,"")</x:f>
        <x:v>0</x:v>
      </x:c>
      <x:c r="M35" s="42" t="n">
        <x:f>'Rules'!$B$8+'Rules'!$B$9*('XP events'!J12-1)</x:f>
        <x:v>45</x:v>
      </x:c>
      <x:c r="N35" s="42" t="n">
        <x:f>IF(AND(ISNUMBER(H35),ISNUMBER(J35),ISNUMBER(L35),ISNUMBER(M35)),MIN(M35,H35-J35+L35),"")</x:f>
        <x:v>5</x:v>
      </x:c>
      <x:c r="O35" s="42" t="n">
        <x:v>5</x:v>
      </x:c>
      <x:c r="P35" s="42" t="n">
        <x:f>IF(AND(ISNUMBER(O35),ISNUMBER(N35)),N35-O35,"")</x:f>
        <x:v>0</x:v>
      </x:c>
      <x:c r="Q35" s="42" t="n">
        <x:f>IF(E35="cast",J35-INDEX('Rules'!$G$15:$G$23,MATCH(F35,'Rules'!$F$15:$F$23,0)),"")</x:f>
        <x:v>0</x:v>
      </x:c>
    </x:row>
    <x:row r="36" ht="22" customHeight="1">
      <x:c r="A36" s="2" t="str">
        <x:v>C04E08</x:v>
      </x:c>
      <x:c r="B36" s="50" t="n">
        <x:v>4</x:v>
      </x:c>
      <x:c r="C36" s="2" t="str">
        <x:v>Kip</x:v>
      </x:c>
      <x:c r="D36" s="2" t="str">
        <x:v>Day 1 10:35:00</x:v>
      </x:c>
      <x:c r="E36" s="2" t="str">
        <x:v>rest</x:v>
      </x:c>
      <x:c r="F36" s="2"/>
      <x:c r="G36" s="31" t="n">
        <x:v>5</x:v>
      </x:c>
      <x:c r="H36" s="31" t="n">
        <x:f>N35</x:f>
        <x:v>5</x:v>
      </x:c>
      <x:c r="I36" s="31" t="n">
        <x:f>IF(AND(ISNUMBER(G36),ISNUMBER(H36)),H36-G36,"")</x:f>
        <x:v>0</x:v>
      </x:c>
      <x:c r="J36" s="31" t="n">
        <x:v>0</x:v>
      </x:c>
      <x:c r="K36" s="31" t="n">
        <x:v>9</x:v>
      </x:c>
      <x:c r="L36" s="31" t="n">
        <x:f>IF(AND(ISNUMBER(K36),ISNUMBER('Rules'!$B$10)),K36*'Rules'!$B$10,"")</x:f>
        <x:v>45</x:v>
      </x:c>
      <x:c r="M36" s="31" t="n">
        <x:f>'Rules'!$B$8+'Rules'!$B$9*('XP events'!J16-1)</x:f>
        <x:v>50</x:v>
      </x:c>
      <x:c r="N36" s="31" t="n">
        <x:f>IF(AND(ISNUMBER(H36),ISNUMBER(J36),ISNUMBER(L36),ISNUMBER(M36)),MIN(M36,H36-J36+L36),"")</x:f>
        <x:v>50</x:v>
      </x:c>
      <x:c r="O36" s="31" t="n">
        <x:v>50</x:v>
      </x:c>
      <x:c r="P36" s="31" t="n">
        <x:f>IF(AND(ISNUMBER(O36),ISNUMBER(N36)),N36-O36,"")</x:f>
        <x:v>0</x:v>
      </x:c>
      <x:c r="Q36" s="31" t="str">
        <x:f>IF(E36="cast",J36-INDEX('Rules'!$G$15:$G$23,MATCH(F36,'Rules'!$F$15:$F$23,0)),"")</x:f>
      </x:c>
    </x:row>
    <x:row r="37" ht="22" customHeight="1">
      <x:c r="A37" s="17" t="str">
        <x:v>C04E09</x:v>
      </x:c>
      <x:c r="B37" s="51" t="n">
        <x:v>4</x:v>
      </x:c>
      <x:c r="C37" s="17" t="str">
        <x:v>Tessa</x:v>
      </x:c>
      <x:c r="D37" s="17" t="str">
        <x:v>Day 1 10:35:00</x:v>
      </x:c>
      <x:c r="E37" s="17" t="str">
        <x:v>rest</x:v>
      </x:c>
      <x:c r="F37" s="17"/>
      <x:c r="G37" s="42" t="n">
        <x:v>20</x:v>
      </x:c>
      <x:c r="H37" s="42" t="n">
        <x:f>N33</x:f>
        <x:v>20</x:v>
      </x:c>
      <x:c r="I37" s="42" t="n">
        <x:f>IF(AND(ISNUMBER(G37),ISNUMBER(H37)),H37-G37,"")</x:f>
        <x:v>0</x:v>
      </x:c>
      <x:c r="J37" s="42" t="n">
        <x:v>0</x:v>
      </x:c>
      <x:c r="K37" s="42" t="n">
        <x:v>9</x:v>
      </x:c>
      <x:c r="L37" s="42" t="n">
        <x:f>IF(AND(ISNUMBER(K37),ISNUMBER('Rules'!$B$10)),K37*'Rules'!$B$10,"")</x:f>
        <x:v>45</x:v>
      </x:c>
      <x:c r="M37" s="42" t="n">
        <x:f>'Rules'!$B$8+'Rules'!$B$9*('XP events'!J17-1)</x:f>
        <x:v>65</x:v>
      </x:c>
      <x:c r="N37" s="42" t="n">
        <x:f>IF(AND(ISNUMBER(H37),ISNUMBER(J37),ISNUMBER(L37),ISNUMBER(M37)),MIN(M37,H37-J37+L37),"")</x:f>
        <x:v>65</x:v>
      </x:c>
      <x:c r="O37" s="42" t="n">
        <x:v>65</x:v>
      </x:c>
      <x:c r="P37" s="42" t="n">
        <x:f>IF(AND(ISNUMBER(O37),ISNUMBER(N37)),N37-O37,"")</x:f>
        <x:v>0</x:v>
      </x:c>
      <x:c r="Q37" s="42" t="str">
        <x:f>IF(E37="cast",J37-INDEX('Rules'!$G$15:$G$23,MATCH(F37,'Rules'!$F$15:$F$23,0)),"")</x:f>
      </x:c>
    </x:row>
    <x:row r="38" ht="22" customHeight="1">
      <x:c r="A38" s="2" t="str">
        <x:v>C04E10</x:v>
      </x:c>
      <x:c r="B38" s="50" t="n">
        <x:v>4</x:v>
      </x:c>
      <x:c r="C38" s="2" t="str">
        <x:v>Owen</x:v>
      </x:c>
      <x:c r="D38" s="2" t="str">
        <x:v>Day 1 10:35:00</x:v>
      </x:c>
      <x:c r="E38" s="2" t="str">
        <x:v>rest</x:v>
      </x:c>
      <x:c r="F38" s="2"/>
      <x:c r="G38" s="31" t="n">
        <x:v>50</x:v>
      </x:c>
      <x:c r="H38" s="31" t="n">
        <x:f>N30</x:f>
        <x:v>50</x:v>
      </x:c>
      <x:c r="I38" s="31" t="n">
        <x:f>IF(AND(ISNUMBER(G38),ISNUMBER(H38)),H38-G38,"")</x:f>
        <x:v>0</x:v>
      </x:c>
      <x:c r="J38" s="31" t="n">
        <x:v>0</x:v>
      </x:c>
      <x:c r="K38" s="31" t="n">
        <x:v>6</x:v>
      </x:c>
      <x:c r="L38" s="31" t="n">
        <x:f>IF(AND(ISNUMBER(K38),ISNUMBER('Rules'!$B$10)),K38*'Rules'!$B$10,"")</x:f>
        <x:v>30</x:v>
      </x:c>
      <x:c r="M38" s="31" t="n">
        <x:f>'Rules'!$B$8+'Rules'!$B$9*('XP events'!J18-1)</x:f>
        <x:v>80</x:v>
      </x:c>
      <x:c r="N38" s="31" t="n">
        <x:f>IF(AND(ISNUMBER(H38),ISNUMBER(J38),ISNUMBER(L38),ISNUMBER(M38)),MIN(M38,H38-J38+L38),"")</x:f>
        <x:v>80</x:v>
      </x:c>
      <x:c r="O38" s="31" t="n">
        <x:v>80</x:v>
      </x:c>
      <x:c r="P38" s="31" t="n">
        <x:f>IF(AND(ISNUMBER(O38),ISNUMBER(N38)),N38-O38,"")</x:f>
        <x:v>0</x:v>
      </x:c>
      <x:c r="Q38" s="31" t="str">
        <x:f>IF(E38="cast",J38-INDEX('Rules'!$G$15:$G$23,MATCH(F38,'Rules'!$F$15:$F$23,0)),"")</x:f>
      </x:c>
    </x:row>
    <x:row r="39" ht="22" customHeight="1">
      <x:c r="A39" s="17" t="str">
        <x:v>C04E11</x:v>
      </x:c>
      <x:c r="B39" s="51" t="n">
        <x:v>4</x:v>
      </x:c>
      <x:c r="C39" s="17" t="str">
        <x:v>Dane</x:v>
      </x:c>
      <x:c r="D39" s="17" t="str">
        <x:v>Day 1 10:45:00</x:v>
      </x:c>
      <x:c r="E39" s="17" t="str">
        <x:v>rest</x:v>
      </x:c>
      <x:c r="F39" s="17"/>
      <x:c r="G39" s="42" t="n">
        <x:v>45</x:v>
      </x:c>
      <x:c r="H39" s="42" t="n">
        <x:f>N34</x:f>
        <x:v>45</x:v>
      </x:c>
      <x:c r="I39" s="42" t="n">
        <x:f>IF(AND(ISNUMBER(G39),ISNUMBER(H39)),H39-G39,"")</x:f>
        <x:v>0</x:v>
      </x:c>
      <x:c r="J39" s="42" t="n">
        <x:v>0</x:v>
      </x:c>
      <x:c r="K39" s="42" t="n">
        <x:v>7</x:v>
      </x:c>
      <x:c r="L39" s="42" t="n">
        <x:f>IF(AND(ISNUMBER(K39),ISNUMBER('Rules'!$B$10)),K39*'Rules'!$B$10,"")</x:f>
        <x:v>35</x:v>
      </x:c>
      <x:c r="M39" s="42" t="n">
        <x:f>'Rules'!$B$8+'Rules'!$B$9*('XP events'!J19-1)</x:f>
        <x:v>80</x:v>
      </x:c>
      <x:c r="N39" s="42" t="n">
        <x:f>IF(AND(ISNUMBER(H39),ISNUMBER(J39),ISNUMBER(L39),ISNUMBER(M39)),MIN(M39,H39-J39+L39),"")</x:f>
        <x:v>80</x:v>
      </x:c>
      <x:c r="O39" s="42" t="n">
        <x:v>80</x:v>
      </x:c>
      <x:c r="P39" s="42" t="n">
        <x:f>IF(AND(ISNUMBER(O39),ISNUMBER(N39)),N39-O39,"")</x:f>
        <x:v>0</x:v>
      </x:c>
      <x:c r="Q39" s="42" t="str">
        <x:f>IF(E39="cast",J39-INDEX('Rules'!$G$15:$G$23,MATCH(F39,'Rules'!$F$15:$F$23,0)),"")</x:f>
      </x:c>
    </x:row>
    <x:row r="40" ht="22" customHeight="1">
      <x:c r="A40" s="2" t="str">
        <x:v>C05E01</x:v>
      </x:c>
      <x:c r="B40" s="50" t="n">
        <x:v>5</x:v>
      </x:c>
      <x:c r="C40" s="2" t="str">
        <x:v>Tessa</x:v>
      </x:c>
      <x:c r="D40" s="2" t="str">
        <x:v>Day 1 11:30:00</x:v>
      </x:c>
      <x:c r="E40" s="2" t="str">
        <x:v>cast</x:v>
      </x:c>
      <x:c r="F40" s="2" t="str">
        <x:v>Trail Sight</x:v>
      </x:c>
      <x:c r="G40" s="31" t="n">
        <x:v>65</x:v>
      </x:c>
      <x:c r="H40" s="31" t="n">
        <x:f>N37</x:f>
        <x:v>65</x:v>
      </x:c>
      <x:c r="I40" s="31" t="n">
        <x:f>IF(AND(ISNUMBER(G40),ISNUMBER(H40)),H40-G40,"")</x:f>
        <x:v>0</x:v>
      </x:c>
      <x:c r="J40" s="31" t="n">
        <x:v>15</x:v>
      </x:c>
      <x:c r="K40" s="31" t="n">
        <x:v>0</x:v>
      </x:c>
      <x:c r="L40" s="31" t="n">
        <x:f>IF(AND(ISNUMBER(K40),ISNUMBER('Rules'!$B$10)),K40*'Rules'!$B$10,"")</x:f>
        <x:v>0</x:v>
      </x:c>
      <x:c r="M40" s="31" t="n">
        <x:f>'Rules'!$B$8+'Rules'!$B$9*('XP events'!J17-1)</x:f>
        <x:v>65</x:v>
      </x:c>
      <x:c r="N40" s="31" t="n">
        <x:f>IF(AND(ISNUMBER(H40),ISNUMBER(J40),ISNUMBER(L40),ISNUMBER(M40)),MIN(M40,H40-J40+L40),"")</x:f>
        <x:v>50</x:v>
      </x:c>
      <x:c r="O40" s="31" t="n">
        <x:v>50</x:v>
      </x:c>
      <x:c r="P40" s="31" t="n">
        <x:f>IF(AND(ISNUMBER(O40),ISNUMBER(N40)),N40-O40,"")</x:f>
        <x:v>0</x:v>
      </x:c>
      <x:c r="Q40" s="31" t="n">
        <x:f>IF(E40="cast",J40-INDEX('Rules'!$G$15:$G$23,MATCH(F40,'Rules'!$F$15:$F$23,0)),"")</x:f>
        <x:v>0</x:v>
      </x:c>
    </x:row>
    <x:row r="41" ht="22" customHeight="1">
      <x:c r="A41" s="17" t="str">
        <x:v>C05E02</x:v>
      </x:c>
      <x:c r="B41" s="51" t="n">
        <x:v>5</x:v>
      </x:c>
      <x:c r="C41" s="17" t="str">
        <x:v>Tessa</x:v>
      </x:c>
      <x:c r="D41" s="17" t="str">
        <x:v>Day 1 11:45:00</x:v>
      </x:c>
      <x:c r="E41" s="17" t="str">
        <x:v>cast</x:v>
      </x:c>
      <x:c r="F41" s="17" t="str">
        <x:v>Quickstep</x:v>
      </x:c>
      <x:c r="G41" s="42" t="n">
        <x:v>50</x:v>
      </x:c>
      <x:c r="H41" s="42" t="n">
        <x:f>N40</x:f>
        <x:v>50</x:v>
      </x:c>
      <x:c r="I41" s="42" t="n">
        <x:f>IF(AND(ISNUMBER(G41),ISNUMBER(H41)),H41-G41,"")</x:f>
        <x:v>0</x:v>
      </x:c>
      <x:c r="J41" s="42" t="n">
        <x:v>10</x:v>
      </x:c>
      <x:c r="K41" s="42" t="n">
        <x:v>0</x:v>
      </x:c>
      <x:c r="L41" s="42" t="n">
        <x:f>IF(AND(ISNUMBER(K41),ISNUMBER('Rules'!$B$10)),K41*'Rules'!$B$10,"")</x:f>
        <x:v>0</x:v>
      </x:c>
      <x:c r="M41" s="42" t="n">
        <x:f>'Rules'!$B$8+'Rules'!$B$9*('XP events'!J17-1)</x:f>
        <x:v>65</x:v>
      </x:c>
      <x:c r="N41" s="42" t="n">
        <x:f>IF(AND(ISNUMBER(H41),ISNUMBER(J41),ISNUMBER(L41),ISNUMBER(M41)),MIN(M41,H41-J41+L41),"")</x:f>
        <x:v>40</x:v>
      </x:c>
      <x:c r="O41" s="42" t="n">
        <x:v>40</x:v>
      </x:c>
      <x:c r="P41" s="42" t="n">
        <x:f>IF(AND(ISNUMBER(O41),ISNUMBER(N41)),N41-O41,"")</x:f>
        <x:v>0</x:v>
      </x:c>
      <x:c r="Q41" s="42" t="n">
        <x:f>IF(E41="cast",J41-INDEX('Rules'!$G$15:$G$23,MATCH(F41,'Rules'!$F$15:$F$23,0)),"")</x:f>
        <x:v>0</x:v>
      </x:c>
    </x:row>
    <x:row r="42" ht="22" customHeight="1">
      <x:c r="A42" s="2" t="str">
        <x:v>C05E03</x:v>
      </x:c>
      <x:c r="B42" s="50" t="n">
        <x:v>5</x:v>
      </x:c>
      <x:c r="C42" s="2" t="str">
        <x:v>Kip</x:v>
      </x:c>
      <x:c r="D42" s="2" t="str">
        <x:v>Day 1 12:00:00</x:v>
      </x:c>
      <x:c r="E42" s="2" t="str">
        <x:v>cast</x:v>
      </x:c>
      <x:c r="F42" s="2" t="str">
        <x:v>Sovereign Ward</x:v>
      </x:c>
      <x:c r="G42" s="31" t="n">
        <x:v>50</x:v>
      </x:c>
      <x:c r="H42" s="31" t="n">
        <x:f>N36</x:f>
        <x:v>50</x:v>
      </x:c>
      <x:c r="I42" s="31" t="n">
        <x:f>IF(AND(ISNUMBER(G42),ISNUMBER(H42)),H42-G42,"")</x:f>
        <x:v>0</x:v>
      </x:c>
      <x:c r="J42" s="31" t="n">
        <x:v>15</x:v>
      </x:c>
      <x:c r="K42" s="31" t="n">
        <x:v>0</x:v>
      </x:c>
      <x:c r="L42" s="31" t="n">
        <x:f>IF(AND(ISNUMBER(K42),ISNUMBER('Rules'!$B$10)),K42*'Rules'!$B$10,"")</x:f>
        <x:v>0</x:v>
      </x:c>
      <x:c r="M42" s="31" t="n">
        <x:f>'Rules'!$B$8+'Rules'!$B$9*('XP events'!J16-1)</x:f>
        <x:v>50</x:v>
      </x:c>
      <x:c r="N42" s="31" t="n">
        <x:f>IF(AND(ISNUMBER(H42),ISNUMBER(J42),ISNUMBER(L42),ISNUMBER(M42)),MIN(M42,H42-J42+L42),"")</x:f>
        <x:v>35</x:v>
      </x:c>
      <x:c r="O42" s="31" t="n">
        <x:v>35</x:v>
      </x:c>
      <x:c r="P42" s="31" t="n">
        <x:f>IF(AND(ISNUMBER(O42),ISNUMBER(N42)),N42-O42,"")</x:f>
        <x:v>0</x:v>
      </x:c>
      <x:c r="Q42" s="31" t="n">
        <x:f>IF(E42="cast",J42-INDEX('Rules'!$G$15:$G$23,MATCH(F42,'Rules'!$F$15:$F$23,0)),"")</x:f>
        <x:v>0</x:v>
      </x:c>
    </x:row>
    <x:row r="43" ht="22" customHeight="1">
      <x:c r="A43" s="17" t="str">
        <x:v>C05E04</x:v>
      </x:c>
      <x:c r="B43" s="51" t="n">
        <x:v>5</x:v>
      </x:c>
      <x:c r="C43" s="17" t="str">
        <x:v>Dane</x:v>
      </x:c>
      <x:c r="D43" s="17" t="str">
        <x:v>Day 1 12:00:03</x:v>
      </x:c>
      <x:c r="E43" s="17" t="str">
        <x:v>cast</x:v>
      </x:c>
      <x:c r="F43" s="17" t="str">
        <x:v>Interpose</x:v>
      </x:c>
      <x:c r="G43" s="42" t="n">
        <x:v>80</x:v>
      </x:c>
      <x:c r="H43" s="42" t="n">
        <x:f>N39</x:f>
        <x:v>80</x:v>
      </x:c>
      <x:c r="I43" s="42" t="n">
        <x:f>IF(AND(ISNUMBER(G43),ISNUMBER(H43)),H43-G43,"")</x:f>
        <x:v>0</x:v>
      </x:c>
      <x:c r="J43" s="42" t="n">
        <x:v>15</x:v>
      </x:c>
      <x:c r="K43" s="42" t="n">
        <x:v>0</x:v>
      </x:c>
      <x:c r="L43" s="42" t="n">
        <x:f>IF(AND(ISNUMBER(K43),ISNUMBER('Rules'!$B$10)),K43*'Rules'!$B$10,"")</x:f>
        <x:v>0</x:v>
      </x:c>
      <x:c r="M43" s="42" t="n">
        <x:f>'Rules'!$B$8+'Rules'!$B$9*('XP events'!J19-1)</x:f>
        <x:v>80</x:v>
      </x:c>
      <x:c r="N43" s="42" t="n">
        <x:f>IF(AND(ISNUMBER(H43),ISNUMBER(J43),ISNUMBER(L43),ISNUMBER(M43)),MIN(M43,H43-J43+L43),"")</x:f>
        <x:v>65</x:v>
      </x:c>
      <x:c r="O43" s="42" t="n">
        <x:v>65</x:v>
      </x:c>
      <x:c r="P43" s="42" t="n">
        <x:f>IF(AND(ISNUMBER(O43),ISNUMBER(N43)),N43-O43,"")</x:f>
        <x:v>0</x:v>
      </x:c>
      <x:c r="Q43" s="42" t="n">
        <x:f>IF(E43="cast",J43-INDEX('Rules'!$G$15:$G$23,MATCH(F43,'Rules'!$F$15:$F$23,0)),"")</x:f>
        <x:v>0</x:v>
      </x:c>
    </x:row>
    <x:row r="44" ht="22" customHeight="1">
      <x:c r="A44" s="2" t="str">
        <x:v>C05E05</x:v>
      </x:c>
      <x:c r="B44" s="50" t="n">
        <x:v>5</x:v>
      </x:c>
      <x:c r="C44" s="2" t="str">
        <x:v>Kip</x:v>
      </x:c>
      <x:c r="D44" s="2" t="str">
        <x:v>Day 1 12:01:00</x:v>
      </x:c>
      <x:c r="E44" s="2" t="str">
        <x:v>cast</x:v>
      </x:c>
      <x:c r="F44" s="2" t="str">
        <x:v>Override</x:v>
      </x:c>
      <x:c r="G44" s="31" t="n">
        <x:v>35</x:v>
      </x:c>
      <x:c r="H44" s="31" t="n">
        <x:f>N42</x:f>
        <x:v>35</x:v>
      </x:c>
      <x:c r="I44" s="31" t="n">
        <x:f>IF(AND(ISNUMBER(G44),ISNUMBER(H44)),H44-G44,"")</x:f>
        <x:v>0</x:v>
      </x:c>
      <x:c r="J44" s="31" t="n">
        <x:v>10</x:v>
      </x:c>
      <x:c r="K44" s="31" t="n">
        <x:v>0</x:v>
      </x:c>
      <x:c r="L44" s="31" t="n">
        <x:f>IF(AND(ISNUMBER(K44),ISNUMBER('Rules'!$B$10)),K44*'Rules'!$B$10,"")</x:f>
        <x:v>0</x:v>
      </x:c>
      <x:c r="M44" s="31" t="n">
        <x:f>'Rules'!$B$8+'Rules'!$B$9*('XP events'!J16-1)</x:f>
        <x:v>50</x:v>
      </x:c>
      <x:c r="N44" s="31" t="n">
        <x:f>IF(AND(ISNUMBER(H44),ISNUMBER(J44),ISNUMBER(L44),ISNUMBER(M44)),MIN(M44,H44-J44+L44),"")</x:f>
        <x:v>25</x:v>
      </x:c>
      <x:c r="O44" s="31" t="n">
        <x:v>25</x:v>
      </x:c>
      <x:c r="P44" s="31" t="n">
        <x:f>IF(AND(ISNUMBER(O44),ISNUMBER(N44)),N44-O44,"")</x:f>
        <x:v>0</x:v>
      </x:c>
      <x:c r="Q44" s="31" t="n">
        <x:f>IF(E44="cast",J44-INDEX('Rules'!$G$15:$G$23,MATCH(F44,'Rules'!$F$15:$F$23,0)),"")</x:f>
        <x:v>0</x:v>
      </x:c>
    </x:row>
    <x:row r="45" ht="22" customHeight="1">
      <x:c r="A45" s="17" t="str">
        <x:v>C05E06</x:v>
      </x:c>
      <x:c r="B45" s="51" t="n">
        <x:v>5</x:v>
      </x:c>
      <x:c r="C45" s="17" t="str">
        <x:v>Owen</x:v>
      </x:c>
      <x:c r="D45" s="17" t="str">
        <x:v>Day 1 12:05:00</x:v>
      </x:c>
      <x:c r="E45" s="17" t="str">
        <x:v>cast</x:v>
      </x:c>
      <x:c r="F45" s="17" t="str">
        <x:v>Mend</x:v>
      </x:c>
      <x:c r="G45" s="42" t="n">
        <x:v>80</x:v>
      </x:c>
      <x:c r="H45" s="42" t="n">
        <x:f>N38</x:f>
        <x:v>80</x:v>
      </x:c>
      <x:c r="I45" s="42" t="n">
        <x:f>IF(AND(ISNUMBER(G45),ISNUMBER(H45)),H45-G45,"")</x:f>
        <x:v>0</x:v>
      </x:c>
      <x:c r="J45" s="42" t="n">
        <x:v>20</x:v>
      </x:c>
      <x:c r="K45" s="42" t="n">
        <x:v>0</x:v>
      </x:c>
      <x:c r="L45" s="42" t="n">
        <x:f>IF(AND(ISNUMBER(K45),ISNUMBER('Rules'!$B$10)),K45*'Rules'!$B$10,"")</x:f>
        <x:v>0</x:v>
      </x:c>
      <x:c r="M45" s="42" t="n">
        <x:f>'Rules'!$B$8+'Rules'!$B$9*('XP events'!J18-1)</x:f>
        <x:v>80</x:v>
      </x:c>
      <x:c r="N45" s="42" t="n">
        <x:f>IF(AND(ISNUMBER(H45),ISNUMBER(J45),ISNUMBER(L45),ISNUMBER(M45)),MIN(M45,H45-J45+L45),"")</x:f>
        <x:v>60</x:v>
      </x:c>
      <x:c r="O45" s="42" t="n">
        <x:v>60</x:v>
      </x:c>
      <x:c r="P45" s="42" t="n">
        <x:f>IF(AND(ISNUMBER(O45),ISNUMBER(N45)),N45-O45,"")</x:f>
        <x:v>0</x:v>
      </x:c>
      <x:c r="Q45" s="42" t="n">
        <x:f>IF(E45="cast",J45-INDEX('Rules'!$G$15:$G$23,MATCH(F45,'Rules'!$F$15:$F$23,0)),"")</x:f>
        <x:v>0</x:v>
      </x:c>
    </x:row>
    <x:row r="46" ht="22" customHeight="1">
      <x:c r="A46" s="2" t="str">
        <x:v>C05E08</x:v>
      </x:c>
      <x:c r="B46" s="50" t="n">
        <x:v>5</x:v>
      </x:c>
      <x:c r="C46" s="2" t="str">
        <x:v>Kip</x:v>
      </x:c>
      <x:c r="D46" s="2" t="str">
        <x:v>Day 1 13:00:00</x:v>
      </x:c>
      <x:c r="E46" s="2" t="str">
        <x:v>rest</x:v>
      </x:c>
      <x:c r="F46" s="2"/>
      <x:c r="G46" s="31" t="n">
        <x:v>25</x:v>
      </x:c>
      <x:c r="H46" s="31" t="n">
        <x:f>N44</x:f>
        <x:v>25</x:v>
      </x:c>
      <x:c r="I46" s="31" t="n">
        <x:f>IF(AND(ISNUMBER(G46),ISNUMBER(H46)),H46-G46,"")</x:f>
        <x:v>0</x:v>
      </x:c>
      <x:c r="J46" s="31" t="n">
        <x:v>0</x:v>
      </x:c>
      <x:c r="K46" s="31" t="n">
        <x:v>6</x:v>
      </x:c>
      <x:c r="L46" s="31" t="n">
        <x:f>IF(AND(ISNUMBER(K46),ISNUMBER('Rules'!$B$10)),K46*'Rules'!$B$10,"")</x:f>
        <x:v>30</x:v>
      </x:c>
      <x:c r="M46" s="31" t="n">
        <x:f>'Rules'!$B$8+'Rules'!$B$9*('XP events'!J20-1)</x:f>
        <x:v>55</x:v>
      </x:c>
      <x:c r="N46" s="31" t="n">
        <x:f>IF(AND(ISNUMBER(H46),ISNUMBER(J46),ISNUMBER(L46),ISNUMBER(M46)),MIN(M46,H46-J46+L46),"")</x:f>
        <x:v>55</x:v>
      </x:c>
      <x:c r="O46" s="31" t="n">
        <x:v>55</x:v>
      </x:c>
      <x:c r="P46" s="31" t="n">
        <x:f>IF(AND(ISNUMBER(O46),ISNUMBER(N46)),N46-O46,"")</x:f>
        <x:v>0</x:v>
      </x:c>
      <x:c r="Q46" s="31" t="str">
        <x:f>IF(E46="cast",J46-INDEX('Rules'!$G$15:$G$23,MATCH(F46,'Rules'!$F$15:$F$23,0)),"")</x:f>
      </x:c>
    </x:row>
    <x:row r="47" ht="22" customHeight="1">
      <x:c r="A47" s="17" t="str">
        <x:v>C05E09</x:v>
      </x:c>
      <x:c r="B47" s="51" t="n">
        <x:v>5</x:v>
      </x:c>
      <x:c r="C47" s="17" t="str">
        <x:v>Tessa</x:v>
      </x:c>
      <x:c r="D47" s="17" t="str">
        <x:v>Day 1 13:00:00</x:v>
      </x:c>
      <x:c r="E47" s="17" t="str">
        <x:v>rest</x:v>
      </x:c>
      <x:c r="F47" s="17"/>
      <x:c r="G47" s="42" t="n">
        <x:v>40</x:v>
      </x:c>
      <x:c r="H47" s="42" t="n">
        <x:f>N41</x:f>
        <x:v>40</x:v>
      </x:c>
      <x:c r="I47" s="42" t="n">
        <x:f>IF(AND(ISNUMBER(G47),ISNUMBER(H47)),H47-G47,"")</x:f>
        <x:v>0</x:v>
      </x:c>
      <x:c r="J47" s="42" t="n">
        <x:v>0</x:v>
      </x:c>
      <x:c r="K47" s="42" t="n">
        <x:v>5</x:v>
      </x:c>
      <x:c r="L47" s="42" t="n">
        <x:f>IF(AND(ISNUMBER(K47),ISNUMBER('Rules'!$B$10)),K47*'Rules'!$B$10,"")</x:f>
        <x:v>25</x:v>
      </x:c>
      <x:c r="M47" s="42" t="n">
        <x:f>'Rules'!$B$8+'Rules'!$B$9*('XP events'!J21-1)</x:f>
        <x:v>65</x:v>
      </x:c>
      <x:c r="N47" s="42" t="n">
        <x:f>IF(AND(ISNUMBER(H47),ISNUMBER(J47),ISNUMBER(L47),ISNUMBER(M47)),MIN(M47,H47-J47+L47),"")</x:f>
        <x:v>65</x:v>
      </x:c>
      <x:c r="O47" s="42" t="n">
        <x:v>65</x:v>
      </x:c>
      <x:c r="P47" s="42" t="n">
        <x:f>IF(AND(ISNUMBER(O47),ISNUMBER(N47)),N47-O47,"")</x:f>
        <x:v>0</x:v>
      </x:c>
      <x:c r="Q47" s="42" t="str">
        <x:f>IF(E47="cast",J47-INDEX('Rules'!$G$15:$G$23,MATCH(F47,'Rules'!$F$15:$F$23,0)),"")</x:f>
      </x:c>
    </x:row>
    <x:row r="48" ht="22" customHeight="1">
      <x:c r="A48" s="2" t="str">
        <x:v>C05E10</x:v>
      </x:c>
      <x:c r="B48" s="50" t="n">
        <x:v>5</x:v>
      </x:c>
      <x:c r="C48" s="2" t="str">
        <x:v>Owen</x:v>
      </x:c>
      <x:c r="D48" s="2" t="str">
        <x:v>Day 1 13:00:00</x:v>
      </x:c>
      <x:c r="E48" s="2" t="str">
        <x:v>rest</x:v>
      </x:c>
      <x:c r="F48" s="2"/>
      <x:c r="G48" s="31" t="n">
        <x:v>60</x:v>
      </x:c>
      <x:c r="H48" s="31" t="n">
        <x:f>N45</x:f>
        <x:v>60</x:v>
      </x:c>
      <x:c r="I48" s="31" t="n">
        <x:f>IF(AND(ISNUMBER(G48),ISNUMBER(H48)),H48-G48,"")</x:f>
        <x:v>0</x:v>
      </x:c>
      <x:c r="J48" s="31" t="n">
        <x:v>0</x:v>
      </x:c>
      <x:c r="K48" s="31" t="n">
        <x:v>4</x:v>
      </x:c>
      <x:c r="L48" s="31" t="n">
        <x:f>IF(AND(ISNUMBER(K48),ISNUMBER('Rules'!$B$10)),K48*'Rules'!$B$10,"")</x:f>
        <x:v>20</x:v>
      </x:c>
      <x:c r="M48" s="31" t="n">
        <x:f>'Rules'!$B$8+'Rules'!$B$9*('XP events'!J22-1)</x:f>
        <x:v>80</x:v>
      </x:c>
      <x:c r="N48" s="31" t="n">
        <x:f>IF(AND(ISNUMBER(H48),ISNUMBER(J48),ISNUMBER(L48),ISNUMBER(M48)),MIN(M48,H48-J48+L48),"")</x:f>
        <x:v>80</x:v>
      </x:c>
      <x:c r="O48" s="31" t="n">
        <x:v>80</x:v>
      </x:c>
      <x:c r="P48" s="31" t="n">
        <x:f>IF(AND(ISNUMBER(O48),ISNUMBER(N48)),N48-O48,"")</x:f>
        <x:v>0</x:v>
      </x:c>
      <x:c r="Q48" s="31" t="str">
        <x:f>IF(E48="cast",J48-INDEX('Rules'!$G$15:$G$23,MATCH(F48,'Rules'!$F$15:$F$23,0)),"")</x:f>
      </x:c>
    </x:row>
    <x:row r="49" ht="22" customHeight="1">
      <x:c r="A49" s="17" t="str">
        <x:v>C05E11</x:v>
      </x:c>
      <x:c r="B49" s="51" t="n">
        <x:v>5</x:v>
      </x:c>
      <x:c r="C49" s="17" t="str">
        <x:v>Dane</x:v>
      </x:c>
      <x:c r="D49" s="17" t="str">
        <x:v>Day 1 13:00:00</x:v>
      </x:c>
      <x:c r="E49" s="17" t="str">
        <x:v>rest</x:v>
      </x:c>
      <x:c r="F49" s="17"/>
      <x:c r="G49" s="42" t="n">
        <x:v>65</x:v>
      </x:c>
      <x:c r="H49" s="42" t="n">
        <x:f>N43</x:f>
        <x:v>65</x:v>
      </x:c>
      <x:c r="I49" s="42" t="n">
        <x:f>IF(AND(ISNUMBER(G49),ISNUMBER(H49)),H49-G49,"")</x:f>
        <x:v>0</x:v>
      </x:c>
      <x:c r="J49" s="42" t="n">
        <x:v>0</x:v>
      </x:c>
      <x:c r="K49" s="42" t="n">
        <x:v>3</x:v>
      </x:c>
      <x:c r="L49" s="42" t="n">
        <x:f>IF(AND(ISNUMBER(K49),ISNUMBER('Rules'!$B$10)),K49*'Rules'!$B$10,"")</x:f>
        <x:v>15</x:v>
      </x:c>
      <x:c r="M49" s="42" t="n">
        <x:f>'Rules'!$B$8+'Rules'!$B$9*('XP events'!J23-1)</x:f>
        <x:v>80</x:v>
      </x:c>
      <x:c r="N49" s="42" t="n">
        <x:f>IF(AND(ISNUMBER(H49),ISNUMBER(J49),ISNUMBER(L49),ISNUMBER(M49)),MIN(M49,H49-J49+L49),"")</x:f>
        <x:v>80</x:v>
      </x:c>
      <x:c r="O49" s="42" t="n">
        <x:v>80</x:v>
      </x:c>
      <x:c r="P49" s="42" t="n">
        <x:f>IF(AND(ISNUMBER(O49),ISNUMBER(N49)),N49-O49,"")</x:f>
        <x:v>0</x:v>
      </x:c>
      <x:c r="Q49" s="42" t="str">
        <x:f>IF(E49="cast",J49-INDEX('Rules'!$G$15:$G$23,MATCH(F49,'Rules'!$F$15:$F$23,0)),"")</x:f>
      </x:c>
    </x:row>
    <x:row r="50" ht="22" customHeight="1">
      <x:c r="A50" s="2" t="str">
        <x:v>C06E01</x:v>
      </x:c>
      <x:c r="B50" s="50" t="n">
        <x:v>6</x:v>
      </x:c>
      <x:c r="C50" s="2" t="str">
        <x:v>Tessa</x:v>
      </x:c>
      <x:c r="D50" s="2" t="str">
        <x:v>Day 1 14:20:00</x:v>
      </x:c>
      <x:c r="E50" s="2" t="str">
        <x:v>cast</x:v>
      </x:c>
      <x:c r="F50" s="2" t="str">
        <x:v>Quickstep</x:v>
      </x:c>
      <x:c r="G50" s="31" t="n">
        <x:v>65</x:v>
      </x:c>
      <x:c r="H50" s="31" t="n">
        <x:f>N47</x:f>
        <x:v>65</x:v>
      </x:c>
      <x:c r="I50" s="31" t="n">
        <x:f>IF(AND(ISNUMBER(G50),ISNUMBER(H50)),H50-G50,"")</x:f>
        <x:v>0</x:v>
      </x:c>
      <x:c r="J50" s="31" t="n">
        <x:v>10</x:v>
      </x:c>
      <x:c r="K50" s="31" t="n">
        <x:v>0</x:v>
      </x:c>
      <x:c r="L50" s="31" t="n">
        <x:f>IF(AND(ISNUMBER(K50),ISNUMBER('Rules'!$B$10)),K50*'Rules'!$B$10,"")</x:f>
        <x:v>0</x:v>
      </x:c>
      <x:c r="M50" s="31" t="n">
        <x:f>'Rules'!$B$8+'Rules'!$B$9*('XP events'!J21-1)</x:f>
        <x:v>65</x:v>
      </x:c>
      <x:c r="N50" s="31" t="n">
        <x:f>IF(AND(ISNUMBER(H50),ISNUMBER(J50),ISNUMBER(L50),ISNUMBER(M50)),MIN(M50,H50-J50+L50),"")</x:f>
        <x:v>55</x:v>
      </x:c>
      <x:c r="O50" s="31" t="n">
        <x:v>55</x:v>
      </x:c>
      <x:c r="P50" s="31" t="n">
        <x:f>IF(AND(ISNUMBER(O50),ISNUMBER(N50)),N50-O50,"")</x:f>
        <x:v>0</x:v>
      </x:c>
      <x:c r="Q50" s="31" t="n">
        <x:f>IF(E50="cast",J50-INDEX('Rules'!$G$15:$G$23,MATCH(F50,'Rules'!$F$15:$F$23,0)),"")</x:f>
        <x:v>0</x:v>
      </x:c>
    </x:row>
    <x:row r="51" ht="22" customHeight="1">
      <x:c r="A51" s="17" t="str">
        <x:v>C06E02</x:v>
      </x:c>
      <x:c r="B51" s="51" t="n">
        <x:v>6</x:v>
      </x:c>
      <x:c r="C51" s="17" t="str">
        <x:v>Dane</x:v>
      </x:c>
      <x:c r="D51" s="17" t="str">
        <x:v>Day 1 14:20:05</x:v>
      </x:c>
      <x:c r="E51" s="17" t="str">
        <x:v>cast</x:v>
      </x:c>
      <x:c r="F51" s="17" t="str">
        <x:v>Bulwark</x:v>
      </x:c>
      <x:c r="G51" s="42" t="n">
        <x:v>80</x:v>
      </x:c>
      <x:c r="H51" s="42" t="n">
        <x:f>N49</x:f>
        <x:v>80</x:v>
      </x:c>
      <x:c r="I51" s="42" t="n">
        <x:f>IF(AND(ISNUMBER(G51),ISNUMBER(H51)),H51-G51,"")</x:f>
        <x:v>0</x:v>
      </x:c>
      <x:c r="J51" s="42" t="n">
        <x:v>20</x:v>
      </x:c>
      <x:c r="K51" s="42" t="n">
        <x:v>0</x:v>
      </x:c>
      <x:c r="L51" s="42" t="n">
        <x:f>IF(AND(ISNUMBER(K51),ISNUMBER('Rules'!$B$10)),K51*'Rules'!$B$10,"")</x:f>
        <x:v>0</x:v>
      </x:c>
      <x:c r="M51" s="42" t="n">
        <x:f>'Rules'!$B$8+'Rules'!$B$9*('XP events'!J23-1)</x:f>
        <x:v>80</x:v>
      </x:c>
      <x:c r="N51" s="42" t="n">
        <x:f>IF(AND(ISNUMBER(H51),ISNUMBER(J51),ISNUMBER(L51),ISNUMBER(M51)),MIN(M51,H51-J51+L51),"")</x:f>
        <x:v>60</x:v>
      </x:c>
      <x:c r="O51" s="42" t="n">
        <x:v>60</x:v>
      </x:c>
      <x:c r="P51" s="42" t="n">
        <x:f>IF(AND(ISNUMBER(O51),ISNUMBER(N51)),N51-O51,"")</x:f>
        <x:v>0</x:v>
      </x:c>
      <x:c r="Q51" s="42" t="n">
        <x:f>IF(E51="cast",J51-INDEX('Rules'!$G$15:$G$23,MATCH(F51,'Rules'!$F$15:$F$23,0)),"")</x:f>
        <x:v>0</x:v>
      </x:c>
    </x:row>
    <x:row r="52" ht="22" customHeight="1">
      <x:c r="A52" s="2" t="str">
        <x:v>C06E03</x:v>
      </x:c>
      <x:c r="B52" s="50" t="n">
        <x:v>6</x:v>
      </x:c>
      <x:c r="C52" s="2" t="str">
        <x:v>Kip</x:v>
      </x:c>
      <x:c r="D52" s="2" t="str">
        <x:v>Day 1 14:20:07</x:v>
      </x:c>
      <x:c r="E52" s="2" t="str">
        <x:v>cast</x:v>
      </x:c>
      <x:c r="F52" s="2" t="str">
        <x:v>Override</x:v>
      </x:c>
      <x:c r="G52" s="31" t="n">
        <x:v>55</x:v>
      </x:c>
      <x:c r="H52" s="31" t="n">
        <x:f>N46</x:f>
        <x:v>55</x:v>
      </x:c>
      <x:c r="I52" s="31" t="n">
        <x:f>IF(AND(ISNUMBER(G52),ISNUMBER(H52)),H52-G52,"")</x:f>
        <x:v>0</x:v>
      </x:c>
      <x:c r="J52" s="31" t="n">
        <x:v>10</x:v>
      </x:c>
      <x:c r="K52" s="31" t="n">
        <x:v>0</x:v>
      </x:c>
      <x:c r="L52" s="31" t="n">
        <x:f>IF(AND(ISNUMBER(K52),ISNUMBER('Rules'!$B$10)),K52*'Rules'!$B$10,"")</x:f>
        <x:v>0</x:v>
      </x:c>
      <x:c r="M52" s="31" t="n">
        <x:f>'Rules'!$B$8+'Rules'!$B$9*('XP events'!J20-1)</x:f>
        <x:v>55</x:v>
      </x:c>
      <x:c r="N52" s="31" t="n">
        <x:f>IF(AND(ISNUMBER(H52),ISNUMBER(J52),ISNUMBER(L52),ISNUMBER(M52)),MIN(M52,H52-J52+L52),"")</x:f>
        <x:v>45</x:v>
      </x:c>
      <x:c r="O52" s="31" t="n">
        <x:v>45</x:v>
      </x:c>
      <x:c r="P52" s="31" t="n">
        <x:f>IF(AND(ISNUMBER(O52),ISNUMBER(N52)),N52-O52,"")</x:f>
        <x:v>0</x:v>
      </x:c>
      <x:c r="Q52" s="31" t="n">
        <x:f>IF(E52="cast",J52-INDEX('Rules'!$G$15:$G$23,MATCH(F52,'Rules'!$F$15:$F$23,0)),"")</x:f>
        <x:v>0</x:v>
      </x:c>
    </x:row>
    <x:row r="53" ht="22" customHeight="1">
      <x:c r="A53" s="17" t="str">
        <x:v>C06E05</x:v>
      </x:c>
      <x:c r="B53" s="51" t="n">
        <x:v>6</x:v>
      </x:c>
      <x:c r="C53" s="17" t="str">
        <x:v>Kip</x:v>
      </x:c>
      <x:c r="D53" s="17" t="str">
        <x:v>Day 1 14:35:00</x:v>
      </x:c>
      <x:c r="E53" s="17" t="str">
        <x:v>cast</x:v>
      </x:c>
      <x:c r="F53" s="17" t="str">
        <x:v>Claim Room</x:v>
      </x:c>
      <x:c r="G53" s="42" t="n">
        <x:v>45</x:v>
      </x:c>
      <x:c r="H53" s="42" t="n">
        <x:f>N52</x:f>
        <x:v>45</x:v>
      </x:c>
      <x:c r="I53" s="42" t="n">
        <x:f>IF(AND(ISNUMBER(G53),ISNUMBER(H53)),H53-G53,"")</x:f>
        <x:v>0</x:v>
      </x:c>
      <x:c r="J53" s="42" t="n">
        <x:v>20</x:v>
      </x:c>
      <x:c r="K53" s="42" t="n">
        <x:v>0</x:v>
      </x:c>
      <x:c r="L53" s="42" t="n">
        <x:f>IF(AND(ISNUMBER(K53),ISNUMBER('Rules'!$B$10)),K53*'Rules'!$B$10,"")</x:f>
        <x:v>0</x:v>
      </x:c>
      <x:c r="M53" s="42" t="n">
        <x:f>'Rules'!$B$8+'Rules'!$B$9*('XP events'!J24-1)</x:f>
        <x:v>60</x:v>
      </x:c>
      <x:c r="N53" s="42" t="n">
        <x:f>IF(AND(ISNUMBER(H53),ISNUMBER(J53),ISNUMBER(L53),ISNUMBER(M53)),MIN(M53,H53-J53+L53),"")</x:f>
        <x:v>25</x:v>
      </x:c>
      <x:c r="O53" s="42" t="n">
        <x:v>25</x:v>
      </x:c>
      <x:c r="P53" s="42" t="n">
        <x:f>IF(AND(ISNUMBER(O53),ISNUMBER(N53)),N53-O53,"")</x:f>
        <x:v>0</x:v>
      </x:c>
      <x:c r="Q53" s="42" t="n">
        <x:f>IF(E53="cast",J53-INDEX('Rules'!$G$15:$G$23,MATCH(F53,'Rules'!$F$15:$F$23,0)),"")</x:f>
        <x:v>0</x:v>
      </x:c>
    </x:row>
    <x:row r="54" ht="22" customHeight="1">
      <x:c r="A54" s="2" t="str">
        <x:v>C06E06</x:v>
      </x:c>
      <x:c r="B54" s="50" t="n">
        <x:v>6</x:v>
      </x:c>
      <x:c r="C54" s="2" t="str">
        <x:v>Kip</x:v>
      </x:c>
      <x:c r="D54" s="2" t="str">
        <x:v>Day 1 15:00:00</x:v>
      </x:c>
      <x:c r="E54" s="2" t="str">
        <x:v>rest</x:v>
      </x:c>
      <x:c r="F54" s="2"/>
      <x:c r="G54" s="31" t="n">
        <x:v>25</x:v>
      </x:c>
      <x:c r="H54" s="31" t="n">
        <x:f>N53</x:f>
        <x:v>25</x:v>
      </x:c>
      <x:c r="I54" s="31" t="n">
        <x:f>IF(AND(ISNUMBER(G54),ISNUMBER(H54)),H54-G54,"")</x:f>
        <x:v>0</x:v>
      </x:c>
      <x:c r="J54" s="31" t="n">
        <x:v>0</x:v>
      </x:c>
      <x:c r="K54" s="31" t="n">
        <x:v>7</x:v>
      </x:c>
      <x:c r="L54" s="31" t="n">
        <x:f>IF(AND(ISNUMBER(K54),ISNUMBER('Rules'!$B$10)),K54*'Rules'!$B$10,"")</x:f>
        <x:v>35</x:v>
      </x:c>
      <x:c r="M54" s="31" t="n">
        <x:f>'Rules'!$B$8+'Rules'!$B$9*('XP events'!J24-1)</x:f>
        <x:v>60</x:v>
      </x:c>
      <x:c r="N54" s="31" t="n">
        <x:f>IF(AND(ISNUMBER(H54),ISNUMBER(J54),ISNUMBER(L54),ISNUMBER(M54)),MIN(M54,H54-J54+L54),"")</x:f>
        <x:v>60</x:v>
      </x:c>
      <x:c r="O54" s="31" t="n">
        <x:v>60</x:v>
      </x:c>
      <x:c r="P54" s="31" t="n">
        <x:f>IF(AND(ISNUMBER(O54),ISNUMBER(N54)),N54-O54,"")</x:f>
        <x:v>0</x:v>
      </x:c>
      <x:c r="Q54" s="31" t="str">
        <x:f>IF(E54="cast",J54-INDEX('Rules'!$G$15:$G$23,MATCH(F54,'Rules'!$F$15:$F$23,0)),"")</x:f>
      </x:c>
    </x:row>
    <x:row r="55" ht="22" customHeight="1">
      <x:c r="A55" s="17" t="str">
        <x:v>C06E07</x:v>
      </x:c>
      <x:c r="B55" s="51" t="n">
        <x:v>6</x:v>
      </x:c>
      <x:c r="C55" s="17" t="str">
        <x:v>Tessa</x:v>
      </x:c>
      <x:c r="D55" s="17" t="str">
        <x:v>Day 1 15:00:00</x:v>
      </x:c>
      <x:c r="E55" s="17" t="str">
        <x:v>rest</x:v>
      </x:c>
      <x:c r="F55" s="17"/>
      <x:c r="G55" s="42" t="n">
        <x:v>55</x:v>
      </x:c>
      <x:c r="H55" s="42" t="n">
        <x:f>N50</x:f>
        <x:v>55</x:v>
      </x:c>
      <x:c r="I55" s="42" t="n">
        <x:f>IF(AND(ISNUMBER(G55),ISNUMBER(H55)),H55-G55,"")</x:f>
        <x:v>0</x:v>
      </x:c>
      <x:c r="J55" s="42" t="n">
        <x:v>0</x:v>
      </x:c>
      <x:c r="K55" s="42" t="n">
        <x:v>3</x:v>
      </x:c>
      <x:c r="L55" s="42" t="n">
        <x:f>IF(AND(ISNUMBER(K55),ISNUMBER('Rules'!$B$10)),K55*'Rules'!$B$10,"")</x:f>
        <x:v>15</x:v>
      </x:c>
      <x:c r="M55" s="42" t="n">
        <x:f>'Rules'!$B$8+'Rules'!$B$9*('XP events'!J25-1)</x:f>
        <x:v>70</x:v>
      </x:c>
      <x:c r="N55" s="42" t="n">
        <x:f>IF(AND(ISNUMBER(H55),ISNUMBER(J55),ISNUMBER(L55),ISNUMBER(M55)),MIN(M55,H55-J55+L55),"")</x:f>
        <x:v>70</x:v>
      </x:c>
      <x:c r="O55" s="42" t="n">
        <x:v>70</x:v>
      </x:c>
      <x:c r="P55" s="42" t="n">
        <x:f>IF(AND(ISNUMBER(O55),ISNUMBER(N55)),N55-O55,"")</x:f>
        <x:v>0</x:v>
      </x:c>
      <x:c r="Q55" s="42" t="str">
        <x:f>IF(E55="cast",J55-INDEX('Rules'!$G$15:$G$23,MATCH(F55,'Rules'!$F$15:$F$23,0)),"")</x:f>
      </x:c>
    </x:row>
    <x:row r="56" ht="22" customHeight="1">
      <x:c r="A56" s="2" t="str">
        <x:v>C06E08</x:v>
      </x:c>
      <x:c r="B56" s="50" t="n">
        <x:v>6</x:v>
      </x:c>
      <x:c r="C56" s="2" t="str">
        <x:v>Owen</x:v>
      </x:c>
      <x:c r="D56" s="2" t="str">
        <x:v>Day 1 15:00:00</x:v>
      </x:c>
      <x:c r="E56" s="2" t="str">
        <x:v>rest</x:v>
      </x:c>
      <x:c r="F56" s="2"/>
      <x:c r="G56" s="31" t="n">
        <x:v>80</x:v>
      </x:c>
      <x:c r="H56" s="31" t="n">
        <x:f>N48</x:f>
        <x:v>80</x:v>
      </x:c>
      <x:c r="I56" s="31" t="n">
        <x:f>IF(AND(ISNUMBER(G56),ISNUMBER(H56)),H56-G56,"")</x:f>
        <x:v>0</x:v>
      </x:c>
      <x:c r="J56" s="31" t="n">
        <x:v>0</x:v>
      </x:c>
      <x:c r="K56" s="31" t="n">
        <x:v>1</x:v>
      </x:c>
      <x:c r="L56" s="31" t="n">
        <x:f>IF(AND(ISNUMBER(K56),ISNUMBER('Rules'!$B$10)),K56*'Rules'!$B$10,"")</x:f>
        <x:v>5</x:v>
      </x:c>
      <x:c r="M56" s="31" t="n">
        <x:f>'Rules'!$B$8+'Rules'!$B$9*('XP events'!J26-1)</x:f>
        <x:v>85</x:v>
      </x:c>
      <x:c r="N56" s="31" t="n">
        <x:f>IF(AND(ISNUMBER(H56),ISNUMBER(J56),ISNUMBER(L56),ISNUMBER(M56)),MIN(M56,H56-J56+L56),"")</x:f>
        <x:v>85</x:v>
      </x:c>
      <x:c r="O56" s="31" t="n">
        <x:v>85</x:v>
      </x:c>
      <x:c r="P56" s="31" t="n">
        <x:f>IF(AND(ISNUMBER(O56),ISNUMBER(N56)),N56-O56,"")</x:f>
        <x:v>0</x:v>
      </x:c>
      <x:c r="Q56" s="31" t="str">
        <x:f>IF(E56="cast",J56-INDEX('Rules'!$G$15:$G$23,MATCH(F56,'Rules'!$F$15:$F$23,0)),"")</x:f>
      </x:c>
    </x:row>
    <x:row r="57" ht="22" customHeight="1">
      <x:c r="A57" s="17" t="str">
        <x:v>C06E09</x:v>
      </x:c>
      <x:c r="B57" s="51" t="n">
        <x:v>6</x:v>
      </x:c>
      <x:c r="C57" s="17" t="str">
        <x:v>Dane</x:v>
      </x:c>
      <x:c r="D57" s="17" t="str">
        <x:v>Day 1 15:00:00</x:v>
      </x:c>
      <x:c r="E57" s="17" t="str">
        <x:v>rest</x:v>
      </x:c>
      <x:c r="F57" s="17"/>
      <x:c r="G57" s="42" t="n">
        <x:v>60</x:v>
      </x:c>
      <x:c r="H57" s="42" t="n">
        <x:f>N51</x:f>
        <x:v>60</x:v>
      </x:c>
      <x:c r="I57" s="42" t="n">
        <x:f>IF(AND(ISNUMBER(G57),ISNUMBER(H57)),H57-G57,"")</x:f>
        <x:v>0</x:v>
      </x:c>
      <x:c r="J57" s="42" t="n">
        <x:v>0</x:v>
      </x:c>
      <x:c r="K57" s="42" t="n">
        <x:v>5</x:v>
      </x:c>
      <x:c r="L57" s="42" t="n">
        <x:f>IF(AND(ISNUMBER(K57),ISNUMBER('Rules'!$B$10)),K57*'Rules'!$B$10,"")</x:f>
        <x:v>25</x:v>
      </x:c>
      <x:c r="M57" s="42" t="n">
        <x:f>'Rules'!$B$8+'Rules'!$B$9*('XP events'!J27-1)</x:f>
        <x:v>85</x:v>
      </x:c>
      <x:c r="N57" s="42" t="n">
        <x:f>IF(AND(ISNUMBER(H57),ISNUMBER(J57),ISNUMBER(L57),ISNUMBER(M57)),MIN(M57,H57-J57+L57),"")</x:f>
        <x:v>85</x:v>
      </x:c>
      <x:c r="O57" s="42" t="n">
        <x:v>85</x:v>
      </x:c>
      <x:c r="P57" s="42" t="n">
        <x:f>IF(AND(ISNUMBER(O57),ISNUMBER(N57)),N57-O57,"")</x:f>
        <x:v>0</x:v>
      </x:c>
      <x:c r="Q57" s="42" t="str">
        <x:f>IF(E57="cast",J57-INDEX('Rules'!$G$15:$G$23,MATCH(F57,'Rules'!$F$15:$F$23,0)),"")</x:f>
      </x:c>
    </x:row>
    <x:row r="58" ht="22" customHeight="1">
      <x:c r="A58" s="2" t="str">
        <x:v>C07E01</x:v>
      </x:c>
      <x:c r="B58" s="50" t="n">
        <x:v>7</x:v>
      </x:c>
      <x:c r="C58" s="2" t="str">
        <x:v>Kip</x:v>
      </x:c>
      <x:c r="D58" s="2" t="str">
        <x:v>Day 1 16:10:00</x:v>
      </x:c>
      <x:c r="E58" s="2" t="str">
        <x:v>cast</x:v>
      </x:c>
      <x:c r="F58" s="2" t="str">
        <x:v>Override</x:v>
      </x:c>
      <x:c r="G58" s="31" t="n">
        <x:v>60</x:v>
      </x:c>
      <x:c r="H58" s="31" t="n">
        <x:f>N54</x:f>
        <x:v>60</x:v>
      </x:c>
      <x:c r="I58" s="31" t="n">
        <x:f>IF(AND(ISNUMBER(G58),ISNUMBER(H58)),H58-G58,"")</x:f>
        <x:v>0</x:v>
      </x:c>
      <x:c r="J58" s="31" t="n">
        <x:v>10</x:v>
      </x:c>
      <x:c r="K58" s="31" t="n">
        <x:v>0</x:v>
      </x:c>
      <x:c r="L58" s="31" t="n">
        <x:f>IF(AND(ISNUMBER(K58),ISNUMBER('Rules'!$B$10)),K58*'Rules'!$B$10,"")</x:f>
        <x:v>0</x:v>
      </x:c>
      <x:c r="M58" s="31" t="n">
        <x:f>'Rules'!$B$8+'Rules'!$B$9*('XP events'!J24-1)</x:f>
        <x:v>60</x:v>
      </x:c>
      <x:c r="N58" s="31" t="n">
        <x:f>IF(AND(ISNUMBER(H58),ISNUMBER(J58),ISNUMBER(L58),ISNUMBER(M58)),MIN(M58,H58-J58+L58),"")</x:f>
        <x:v>50</x:v>
      </x:c>
      <x:c r="O58" s="31" t="n">
        <x:v>50</x:v>
      </x:c>
      <x:c r="P58" s="31" t="n">
        <x:f>IF(AND(ISNUMBER(O58),ISNUMBER(N58)),N58-O58,"")</x:f>
        <x:v>0</x:v>
      </x:c>
      <x:c r="Q58" s="31" t="n">
        <x:f>IF(E58="cast",J58-INDEX('Rules'!$G$15:$G$23,MATCH(F58,'Rules'!$F$15:$F$23,0)),"")</x:f>
        <x:v>0</x:v>
      </x:c>
    </x:row>
    <x:row r="59" ht="22" customHeight="1">
      <x:c r="A59" s="17" t="str">
        <x:v>C07E02</x:v>
      </x:c>
      <x:c r="B59" s="51" t="n">
        <x:v>7</x:v>
      </x:c>
      <x:c r="C59" s="17" t="str">
        <x:v>Kip</x:v>
      </x:c>
      <x:c r="D59" s="17" t="str">
        <x:v>Day 1 16:30:00</x:v>
      </x:c>
      <x:c r="E59" s="17" t="str">
        <x:v>cast</x:v>
      </x:c>
      <x:c r="F59" s="17" t="str">
        <x:v>Override</x:v>
      </x:c>
      <x:c r="G59" s="42" t="n">
        <x:v>50</x:v>
      </x:c>
      <x:c r="H59" s="42" t="n">
        <x:f>N58</x:f>
        <x:v>50</x:v>
      </x:c>
      <x:c r="I59" s="42" t="n">
        <x:f>IF(AND(ISNUMBER(G59),ISNUMBER(H59)),H59-G59,"")</x:f>
        <x:v>0</x:v>
      </x:c>
      <x:c r="J59" s="42" t="n">
        <x:v>10</x:v>
      </x:c>
      <x:c r="K59" s="42" t="n">
        <x:v>0</x:v>
      </x:c>
      <x:c r="L59" s="42" t="n">
        <x:f>IF(AND(ISNUMBER(K59),ISNUMBER('Rules'!$B$10)),K59*'Rules'!$B$10,"")</x:f>
        <x:v>0</x:v>
      </x:c>
      <x:c r="M59" s="42" t="n">
        <x:f>'Rules'!$B$8+'Rules'!$B$9*('XP events'!J24-1)</x:f>
        <x:v>60</x:v>
      </x:c>
      <x:c r="N59" s="42" t="n">
        <x:f>IF(AND(ISNUMBER(H59),ISNUMBER(J59),ISNUMBER(L59),ISNUMBER(M59)),MIN(M59,H59-J59+L59),"")</x:f>
        <x:v>40</x:v>
      </x:c>
      <x:c r="O59" s="42" t="n">
        <x:v>40</x:v>
      </x:c>
      <x:c r="P59" s="42" t="n">
        <x:f>IF(AND(ISNUMBER(O59),ISNUMBER(N59)),N59-O59,"")</x:f>
        <x:v>0</x:v>
      </x:c>
      <x:c r="Q59" s="42" t="n">
        <x:f>IF(E59="cast",J59-INDEX('Rules'!$G$15:$G$23,MATCH(F59,'Rules'!$F$15:$F$23,0)),"")</x:f>
        <x:v>0</x:v>
      </x:c>
    </x:row>
    <x:row r="60" ht="22" customHeight="1">
      <x:c r="A60" s="2" t="str">
        <x:v>C07E03</x:v>
      </x:c>
      <x:c r="B60" s="50" t="n">
        <x:v>7</x:v>
      </x:c>
      <x:c r="C60" s="2" t="str">
        <x:v>Kip</x:v>
      </x:c>
      <x:c r="D60" s="2" t="str">
        <x:v>Day 1 16:50:00</x:v>
      </x:c>
      <x:c r="E60" s="2" t="str">
        <x:v>cast</x:v>
      </x:c>
      <x:c r="F60" s="2" t="str">
        <x:v>Override</x:v>
      </x:c>
      <x:c r="G60" s="31" t="n">
        <x:v>40</x:v>
      </x:c>
      <x:c r="H60" s="31" t="n">
        <x:f>N59</x:f>
        <x:v>40</x:v>
      </x:c>
      <x:c r="I60" s="31" t="n">
        <x:f>IF(AND(ISNUMBER(G60),ISNUMBER(H60)),H60-G60,"")</x:f>
        <x:v>0</x:v>
      </x:c>
      <x:c r="J60" s="31" t="n">
        <x:v>10</x:v>
      </x:c>
      <x:c r="K60" s="31" t="n">
        <x:v>0</x:v>
      </x:c>
      <x:c r="L60" s="31" t="n">
        <x:f>IF(AND(ISNUMBER(K60),ISNUMBER('Rules'!$B$10)),K60*'Rules'!$B$10,"")</x:f>
        <x:v>0</x:v>
      </x:c>
      <x:c r="M60" s="31" t="n">
        <x:f>'Rules'!$B$8+'Rules'!$B$9*('XP events'!J24-1)</x:f>
        <x:v>60</x:v>
      </x:c>
      <x:c r="N60" s="31" t="n">
        <x:f>IF(AND(ISNUMBER(H60),ISNUMBER(J60),ISNUMBER(L60),ISNUMBER(M60)),MIN(M60,H60-J60+L60),"")</x:f>
        <x:v>30</x:v>
      </x:c>
      <x:c r="O60" s="31" t="n">
        <x:v>30</x:v>
      </x:c>
      <x:c r="P60" s="31" t="n">
        <x:f>IF(AND(ISNUMBER(O60),ISNUMBER(N60)),N60-O60,"")</x:f>
        <x:v>0</x:v>
      </x:c>
      <x:c r="Q60" s="31" t="n">
        <x:f>IF(E60="cast",J60-INDEX('Rules'!$G$15:$G$23,MATCH(F60,'Rules'!$F$15:$F$23,0)),"")</x:f>
        <x:v>0</x:v>
      </x:c>
    </x:row>
    <x:row r="61" ht="22" customHeight="1">
      <x:c r="A61" s="17" t="str">
        <x:v>C07E04</x:v>
      </x:c>
      <x:c r="B61" s="51" t="n">
        <x:v>7</x:v>
      </x:c>
      <x:c r="C61" s="17" t="str">
        <x:v>Kip</x:v>
      </x:c>
      <x:c r="D61" s="17" t="str">
        <x:v>Day 1 17:10:00</x:v>
      </x:c>
      <x:c r="E61" s="17" t="str">
        <x:v>cast</x:v>
      </x:c>
      <x:c r="F61" s="17" t="str">
        <x:v>Override</x:v>
      </x:c>
      <x:c r="G61" s="42" t="n">
        <x:v>30</x:v>
      </x:c>
      <x:c r="H61" s="42" t="n">
        <x:f>N60</x:f>
        <x:v>30</x:v>
      </x:c>
      <x:c r="I61" s="42" t="n">
        <x:f>IF(AND(ISNUMBER(G61),ISNUMBER(H61)),H61-G61,"")</x:f>
        <x:v>0</x:v>
      </x:c>
      <x:c r="J61" s="42" t="n">
        <x:v>10</x:v>
      </x:c>
      <x:c r="K61" s="42" t="n">
        <x:v>0</x:v>
      </x:c>
      <x:c r="L61" s="42" t="n">
        <x:f>IF(AND(ISNUMBER(K61),ISNUMBER('Rules'!$B$10)),K61*'Rules'!$B$10,"")</x:f>
        <x:v>0</x:v>
      </x:c>
      <x:c r="M61" s="42" t="n">
        <x:f>'Rules'!$B$8+'Rules'!$B$9*('XP events'!J24-1)</x:f>
        <x:v>60</x:v>
      </x:c>
      <x:c r="N61" s="42" t="n">
        <x:f>IF(AND(ISNUMBER(H61),ISNUMBER(J61),ISNUMBER(L61),ISNUMBER(M61)),MIN(M61,H61-J61+L61),"")</x:f>
        <x:v>20</x:v>
      </x:c>
      <x:c r="O61" s="42" t="n">
        <x:v>20</x:v>
      </x:c>
      <x:c r="P61" s="42" t="n">
        <x:f>IF(AND(ISNUMBER(O61),ISNUMBER(N61)),N61-O61,"")</x:f>
        <x:v>0</x:v>
      </x:c>
      <x:c r="Q61" s="42" t="n">
        <x:f>IF(E61="cast",J61-INDEX('Rules'!$G$15:$G$23,MATCH(F61,'Rules'!$F$15:$F$23,0)),"")</x:f>
        <x:v>0</x:v>
      </x:c>
    </x:row>
    <x:row r="62" ht="22" customHeight="1">
      <x:c r="A62" s="2" t="str">
        <x:v>C07E05</x:v>
      </x:c>
      <x:c r="B62" s="50" t="n">
        <x:v>7</x:v>
      </x:c>
      <x:c r="C62" s="2" t="str">
        <x:v>Kip</x:v>
      </x:c>
      <x:c r="D62" s="2" t="str">
        <x:v>Day 1 17:30:00</x:v>
      </x:c>
      <x:c r="E62" s="2" t="str">
        <x:v>cast</x:v>
      </x:c>
      <x:c r="F62" s="2" t="str">
        <x:v>Override</x:v>
      </x:c>
      <x:c r="G62" s="31" t="n">
        <x:v>20</x:v>
      </x:c>
      <x:c r="H62" s="31" t="n">
        <x:f>N61</x:f>
        <x:v>20</x:v>
      </x:c>
      <x:c r="I62" s="31" t="n">
        <x:f>IF(AND(ISNUMBER(G62),ISNUMBER(H62)),H62-G62,"")</x:f>
        <x:v>0</x:v>
      </x:c>
      <x:c r="J62" s="31" t="n">
        <x:v>10</x:v>
      </x:c>
      <x:c r="K62" s="31" t="n">
        <x:v>0</x:v>
      </x:c>
      <x:c r="L62" s="31" t="n">
        <x:f>IF(AND(ISNUMBER(K62),ISNUMBER('Rules'!$B$10)),K62*'Rules'!$B$10,"")</x:f>
        <x:v>0</x:v>
      </x:c>
      <x:c r="M62" s="31" t="n">
        <x:f>'Rules'!$B$8+'Rules'!$B$9*('XP events'!J24-1)</x:f>
        <x:v>60</x:v>
      </x:c>
      <x:c r="N62" s="31" t="n">
        <x:f>IF(AND(ISNUMBER(H62),ISNUMBER(J62),ISNUMBER(L62),ISNUMBER(M62)),MIN(M62,H62-J62+L62),"")</x:f>
        <x:v>10</x:v>
      </x:c>
      <x:c r="O62" s="31" t="n">
        <x:v>10</x:v>
      </x:c>
      <x:c r="P62" s="31" t="n">
        <x:f>IF(AND(ISNUMBER(O62),ISNUMBER(N62)),N62-O62,"")</x:f>
        <x:v>0</x:v>
      </x:c>
      <x:c r="Q62" s="31" t="n">
        <x:f>IF(E62="cast",J62-INDEX('Rules'!$G$15:$G$23,MATCH(F62,'Rules'!$F$15:$F$23,0)),"")</x:f>
        <x:v>0</x:v>
      </x:c>
    </x:row>
    <x:row r="63" ht="22" customHeight="1">
      <x:c r="A63" s="17" t="str">
        <x:v>C07E06</x:v>
      </x:c>
      <x:c r="B63" s="51" t="n">
        <x:v>7</x:v>
      </x:c>
      <x:c r="C63" s="17" t="str">
        <x:v>Kip</x:v>
      </x:c>
      <x:c r="D63" s="17" t="str">
        <x:v>Day 1 17:50:00</x:v>
      </x:c>
      <x:c r="E63" s="17" t="str">
        <x:v>cast</x:v>
      </x:c>
      <x:c r="F63" s="17" t="str">
        <x:v>Override</x:v>
      </x:c>
      <x:c r="G63" s="42" t="n">
        <x:v>10</x:v>
      </x:c>
      <x:c r="H63" s="42" t="n">
        <x:f>N62</x:f>
        <x:v>10</x:v>
      </x:c>
      <x:c r="I63" s="42" t="n">
        <x:f>IF(AND(ISNUMBER(G63),ISNUMBER(H63)),H63-G63,"")</x:f>
        <x:v>0</x:v>
      </x:c>
      <x:c r="J63" s="42" t="n">
        <x:v>10</x:v>
      </x:c>
      <x:c r="K63" s="42" t="n">
        <x:v>0</x:v>
      </x:c>
      <x:c r="L63" s="42" t="n">
        <x:f>IF(AND(ISNUMBER(K63),ISNUMBER('Rules'!$B$10)),K63*'Rules'!$B$10,"")</x:f>
        <x:v>0</x:v>
      </x:c>
      <x:c r="M63" s="42" t="n">
        <x:f>'Rules'!$B$8+'Rules'!$B$9*('XP events'!J24-1)</x:f>
        <x:v>60</x:v>
      </x:c>
      <x:c r="N63" s="42" t="n">
        <x:f>IF(AND(ISNUMBER(H63),ISNUMBER(J63),ISNUMBER(L63),ISNUMBER(M63)),MIN(M63,H63-J63+L63),"")</x:f>
        <x:v>0</x:v>
      </x:c>
      <x:c r="O63" s="42" t="n">
        <x:v>0</x:v>
      </x:c>
      <x:c r="P63" s="42" t="n">
        <x:f>IF(AND(ISNUMBER(O63),ISNUMBER(N63)),N63-O63,"")</x:f>
        <x:v>0</x:v>
      </x:c>
      <x:c r="Q63" s="42" t="n">
        <x:f>IF(E63="cast",J63-INDEX('Rules'!$G$15:$G$23,MATCH(F63,'Rules'!$F$15:$F$23,0)),"")</x:f>
        <x:v>0</x:v>
      </x:c>
    </x:row>
    <x:row r="64" ht="22" customHeight="1">
      <x:c r="A64" s="2" t="str">
        <x:v>C07E07</x:v>
      </x:c>
      <x:c r="B64" s="50" t="n">
        <x:v>7</x:v>
      </x:c>
      <x:c r="C64" s="2" t="str">
        <x:v>Kip</x:v>
      </x:c>
      <x:c r="D64" s="2" t="str">
        <x:v>Day 1 18:00:00</x:v>
      </x:c>
      <x:c r="E64" s="2" t="str">
        <x:v>rest</x:v>
      </x:c>
      <x:c r="F64" s="2"/>
      <x:c r="G64" s="31" t="n">
        <x:v>0</x:v>
      </x:c>
      <x:c r="H64" s="31" t="n">
        <x:f>N63</x:f>
        <x:v>0</x:v>
      </x:c>
      <x:c r="I64" s="31" t="n">
        <x:f>IF(AND(ISNUMBER(G64),ISNUMBER(H64)),H64-G64,"")</x:f>
        <x:v>0</x:v>
      </x:c>
      <x:c r="J64" s="31" t="n">
        <x:v>0</x:v>
      </x:c>
      <x:c r="K64" s="31" t="n">
        <x:v>12</x:v>
      </x:c>
      <x:c r="L64" s="31" t="n">
        <x:f>IF(AND(ISNUMBER(K64),ISNUMBER('Rules'!$B$10)),K64*'Rules'!$B$10,"")</x:f>
        <x:v>60</x:v>
      </x:c>
      <x:c r="M64" s="31" t="n">
        <x:f>'Rules'!$B$8+'Rules'!$B$9*('XP events'!J24-1)</x:f>
        <x:v>60</x:v>
      </x:c>
      <x:c r="N64" s="31" t="n">
        <x:f>IF(AND(ISNUMBER(H64),ISNUMBER(J64),ISNUMBER(L64),ISNUMBER(M64)),MIN(M64,H64-J64+L64),"")</x:f>
        <x:v>60</x:v>
      </x:c>
      <x:c r="O64" s="31" t="n">
        <x:v>60</x:v>
      </x:c>
      <x:c r="P64" s="31" t="n">
        <x:f>IF(AND(ISNUMBER(O64),ISNUMBER(N64)),N64-O64,"")</x:f>
        <x:v>0</x:v>
      </x:c>
      <x:c r="Q64" s="31" t="str">
        <x:f>IF(E64="cast",J64-INDEX('Rules'!$G$15:$G$23,MATCH(F64,'Rules'!$F$15:$F$23,0)),"")</x:f>
      </x:c>
    </x:row>
    <x:row r="65" ht="22" customHeight="1">
      <x:c r="A65" s="17" t="str">
        <x:v>C08E01</x:v>
      </x:c>
      <x:c r="B65" s="51" t="n">
        <x:v>8</x:v>
      </x:c>
      <x:c r="C65" s="17" t="str">
        <x:v>Kip</x:v>
      </x:c>
      <x:c r="D65" s="17" t="str">
        <x:v>Day 2 09:01:00</x:v>
      </x:c>
      <x:c r="E65" s="17" t="str">
        <x:v>cast</x:v>
      </x:c>
      <x:c r="F65" s="17" t="str">
        <x:v>Override</x:v>
      </x:c>
      <x:c r="G65" s="42" t="n">
        <x:v>60</x:v>
      </x:c>
      <x:c r="H65" s="42" t="n">
        <x:f>N64</x:f>
        <x:v>60</x:v>
      </x:c>
      <x:c r="I65" s="42" t="n">
        <x:f>IF(AND(ISNUMBER(G65),ISNUMBER(H65)),H65-G65,"")</x:f>
        <x:v>0</x:v>
      </x:c>
      <x:c r="J65" s="42" t="n">
        <x:v>10</x:v>
      </x:c>
      <x:c r="K65" s="42" t="n">
        <x:v>0</x:v>
      </x:c>
      <x:c r="L65" s="42" t="n">
        <x:f>IF(AND(ISNUMBER(K65),ISNUMBER('Rules'!$B$10)),K65*'Rules'!$B$10,"")</x:f>
        <x:v>0</x:v>
      </x:c>
      <x:c r="M65" s="42" t="n">
        <x:f>'Rules'!$B$8+'Rules'!$B$9*('XP events'!J24-1)</x:f>
        <x:v>60</x:v>
      </x:c>
      <x:c r="N65" s="42" t="n">
        <x:f>IF(AND(ISNUMBER(H65),ISNUMBER(J65),ISNUMBER(L65),ISNUMBER(M65)),MIN(M65,H65-J65+L65),"")</x:f>
        <x:v>50</x:v>
      </x:c>
      <x:c r="O65" s="42" t="n">
        <x:v>50</x:v>
      </x:c>
      <x:c r="P65" s="42" t="n">
        <x:f>IF(AND(ISNUMBER(O65),ISNUMBER(N65)),N65-O65,"")</x:f>
        <x:v>0</x:v>
      </x:c>
      <x:c r="Q65" s="42" t="n">
        <x:f>IF(E65="cast",J65-INDEX('Rules'!$G$15:$G$23,MATCH(F65,'Rules'!$F$15:$F$23,0)),"")</x:f>
        <x:v>0</x:v>
      </x:c>
    </x:row>
    <x:row r="66" ht="22" customHeight="1">
      <x:c r="A66" s="2" t="str">
        <x:v>C08E02</x:v>
      </x:c>
      <x:c r="B66" s="50" t="n">
        <x:v>8</x:v>
      </x:c>
      <x:c r="C66" s="2" t="str">
        <x:v>Tessa</x:v>
      </x:c>
      <x:c r="D66" s="2" t="str">
        <x:v>Day 2 09:01:02</x:v>
      </x:c>
      <x:c r="E66" s="2" t="str">
        <x:v>cast</x:v>
      </x:c>
      <x:c r="F66" s="2" t="str">
        <x:v>Quickstep</x:v>
      </x:c>
      <x:c r="G66" s="31" t="n">
        <x:v>70</x:v>
      </x:c>
      <x:c r="H66" s="31" t="n">
        <x:f>N55</x:f>
        <x:v>70</x:v>
      </x:c>
      <x:c r="I66" s="31" t="n">
        <x:f>IF(AND(ISNUMBER(G66),ISNUMBER(H66)),H66-G66,"")</x:f>
        <x:v>0</x:v>
      </x:c>
      <x:c r="J66" s="31" t="n">
        <x:v>10</x:v>
      </x:c>
      <x:c r="K66" s="31" t="n">
        <x:v>0</x:v>
      </x:c>
      <x:c r="L66" s="31" t="n">
        <x:f>IF(AND(ISNUMBER(K66),ISNUMBER('Rules'!$B$10)),K66*'Rules'!$B$10,"")</x:f>
        <x:v>0</x:v>
      </x:c>
      <x:c r="M66" s="31" t="n">
        <x:f>'Rules'!$B$8+'Rules'!$B$9*('XP events'!J25-1)</x:f>
        <x:v>70</x:v>
      </x:c>
      <x:c r="N66" s="31" t="n">
        <x:f>IF(AND(ISNUMBER(H66),ISNUMBER(J66),ISNUMBER(L66),ISNUMBER(M66)),MIN(M66,H66-J66+L66),"")</x:f>
        <x:v>60</x:v>
      </x:c>
      <x:c r="O66" s="31" t="n">
        <x:v>60</x:v>
      </x:c>
      <x:c r="P66" s="31" t="n">
        <x:f>IF(AND(ISNUMBER(O66),ISNUMBER(N66)),N66-O66,"")</x:f>
        <x:v>0</x:v>
      </x:c>
      <x:c r="Q66" s="31" t="n">
        <x:f>IF(E66="cast",J66-INDEX('Rules'!$G$15:$G$23,MATCH(F66,'Rules'!$F$15:$F$23,0)),"")</x:f>
        <x:v>0</x:v>
      </x:c>
    </x:row>
    <x:row r="67" ht="22" customHeight="1">
      <x:c r="A67" s="17" t="str">
        <x:v>C08E03</x:v>
      </x:c>
      <x:c r="B67" s="51" t="n">
        <x:v>8</x:v>
      </x:c>
      <x:c r="C67" s="17" t="str">
        <x:v>Dane</x:v>
      </x:c>
      <x:c r="D67" s="17" t="str">
        <x:v>Day 2 09:01:05</x:v>
      </x:c>
      <x:c r="E67" s="17" t="str">
        <x:v>cast</x:v>
      </x:c>
      <x:c r="F67" s="17" t="str">
        <x:v>Bulwark</x:v>
      </x:c>
      <x:c r="G67" s="42" t="n">
        <x:v>85</x:v>
      </x:c>
      <x:c r="H67" s="42" t="n">
        <x:f>N57</x:f>
        <x:v>85</x:v>
      </x:c>
      <x:c r="I67" s="42" t="n">
        <x:f>IF(AND(ISNUMBER(G67),ISNUMBER(H67)),H67-G67,"")</x:f>
        <x:v>0</x:v>
      </x:c>
      <x:c r="J67" s="42" t="n">
        <x:v>20</x:v>
      </x:c>
      <x:c r="K67" s="42" t="n">
        <x:v>0</x:v>
      </x:c>
      <x:c r="L67" s="42" t="n">
        <x:f>IF(AND(ISNUMBER(K67),ISNUMBER('Rules'!$B$10)),K67*'Rules'!$B$10,"")</x:f>
        <x:v>0</x:v>
      </x:c>
      <x:c r="M67" s="42" t="n">
        <x:f>'Rules'!$B$8+'Rules'!$B$9*('XP events'!J27-1)</x:f>
        <x:v>85</x:v>
      </x:c>
      <x:c r="N67" s="42" t="n">
        <x:f>IF(AND(ISNUMBER(H67),ISNUMBER(J67),ISNUMBER(L67),ISNUMBER(M67)),MIN(M67,H67-J67+L67),"")</x:f>
        <x:v>65</x:v>
      </x:c>
      <x:c r="O67" s="42" t="n">
        <x:v>65</x:v>
      </x:c>
      <x:c r="P67" s="42" t="n">
        <x:f>IF(AND(ISNUMBER(O67),ISNUMBER(N67)),N67-O67,"")</x:f>
        <x:v>0</x:v>
      </x:c>
      <x:c r="Q67" s="42" t="n">
        <x:f>IF(E67="cast",J67-INDEX('Rules'!$G$15:$G$23,MATCH(F67,'Rules'!$F$15:$F$23,0)),"")</x:f>
        <x:v>0</x:v>
      </x:c>
    </x:row>
    <x:row r="68" ht="22" customHeight="1">
      <x:c r="A68" s="2" t="str">
        <x:v>C08E04</x:v>
      </x:c>
      <x:c r="B68" s="50" t="n">
        <x:v>8</x:v>
      </x:c>
      <x:c r="C68" s="2" t="str">
        <x:v>Kip</x:v>
      </x:c>
      <x:c r="D68" s="2" t="str">
        <x:v>Day 2 09:01:15</x:v>
      </x:c>
      <x:c r="E68" s="2" t="str">
        <x:v>cast</x:v>
      </x:c>
      <x:c r="F68" s="2" t="str">
        <x:v>Override</x:v>
      </x:c>
      <x:c r="G68" s="31" t="n">
        <x:v>50</x:v>
      </x:c>
      <x:c r="H68" s="31" t="n">
        <x:f>N65</x:f>
        <x:v>50</x:v>
      </x:c>
      <x:c r="I68" s="31" t="n">
        <x:f>IF(AND(ISNUMBER(G68),ISNUMBER(H68)),H68-G68,"")</x:f>
        <x:v>0</x:v>
      </x:c>
      <x:c r="J68" s="31" t="n">
        <x:v>10</x:v>
      </x:c>
      <x:c r="K68" s="31" t="n">
        <x:v>0</x:v>
      </x:c>
      <x:c r="L68" s="31" t="n">
        <x:f>IF(AND(ISNUMBER(K68),ISNUMBER('Rules'!$B$10)),K68*'Rules'!$B$10,"")</x:f>
        <x:v>0</x:v>
      </x:c>
      <x:c r="M68" s="31" t="n">
        <x:f>'Rules'!$B$8+'Rules'!$B$9*('XP events'!J24-1)</x:f>
        <x:v>60</x:v>
      </x:c>
      <x:c r="N68" s="31" t="n">
        <x:f>IF(AND(ISNUMBER(H68),ISNUMBER(J68),ISNUMBER(L68),ISNUMBER(M68)),MIN(M68,H68-J68+L68),"")</x:f>
        <x:v>40</x:v>
      </x:c>
      <x:c r="O68" s="31" t="n">
        <x:v>40</x:v>
      </x:c>
      <x:c r="P68" s="31" t="n">
        <x:f>IF(AND(ISNUMBER(O68),ISNUMBER(N68)),N68-O68,"")</x:f>
        <x:v>0</x:v>
      </x:c>
      <x:c r="Q68" s="31" t="n">
        <x:f>IF(E68="cast",J68-INDEX('Rules'!$G$15:$G$23,MATCH(F68,'Rules'!$F$15:$F$23,0)),"")</x:f>
        <x:v>0</x:v>
      </x:c>
    </x:row>
    <x:row r="69" ht="22" customHeight="1">
      <x:c r="A69" s="17" t="str">
        <x:v>C08E05</x:v>
      </x:c>
      <x:c r="B69" s="51" t="n">
        <x:v>8</x:v>
      </x:c>
      <x:c r="C69" s="17" t="str">
        <x:v>Kip</x:v>
      </x:c>
      <x:c r="D69" s="17" t="str">
        <x:v>Day 2 09:01:30</x:v>
      </x:c>
      <x:c r="E69" s="17" t="str">
        <x:v>cast</x:v>
      </x:c>
      <x:c r="F69" s="17" t="str">
        <x:v>Sovereign Ward</x:v>
      </x:c>
      <x:c r="G69" s="42" t="n">
        <x:v>40</x:v>
      </x:c>
      <x:c r="H69" s="42" t="n">
        <x:f>N68</x:f>
        <x:v>40</x:v>
      </x:c>
      <x:c r="I69" s="42" t="n">
        <x:f>IF(AND(ISNUMBER(G69),ISNUMBER(H69)),H69-G69,"")</x:f>
        <x:v>0</x:v>
      </x:c>
      <x:c r="J69" s="42" t="n">
        <x:v>15</x:v>
      </x:c>
      <x:c r="K69" s="42" t="n">
        <x:v>0</x:v>
      </x:c>
      <x:c r="L69" s="42" t="n">
        <x:f>IF(AND(ISNUMBER(K69),ISNUMBER('Rules'!$B$10)),K69*'Rules'!$B$10,"")</x:f>
        <x:v>0</x:v>
      </x:c>
      <x:c r="M69" s="42" t="n">
        <x:f>'Rules'!$B$8+'Rules'!$B$9*('XP events'!J24-1)</x:f>
        <x:v>60</x:v>
      </x:c>
      <x:c r="N69" s="42" t="n">
        <x:f>IF(AND(ISNUMBER(H69),ISNUMBER(J69),ISNUMBER(L69),ISNUMBER(M69)),MIN(M69,H69-J69+L69),"")</x:f>
        <x:v>25</x:v>
      </x:c>
      <x:c r="O69" s="42" t="n">
        <x:v>25</x:v>
      </x:c>
      <x:c r="P69" s="42" t="n">
        <x:f>IF(AND(ISNUMBER(O69),ISNUMBER(N69)),N69-O69,"")</x:f>
        <x:v>0</x:v>
      </x:c>
      <x:c r="Q69" s="42" t="n">
        <x:f>IF(E69="cast",J69-INDEX('Rules'!$G$15:$G$23,MATCH(F69,'Rules'!$F$15:$F$23,0)),"")</x:f>
        <x:v>0</x:v>
      </x:c>
    </x:row>
    <x:row r="70" ht="22" customHeight="1">
      <x:c r="A70" s="2" t="str">
        <x:v>C08E06</x:v>
      </x:c>
      <x:c r="B70" s="50" t="n">
        <x:v>8</x:v>
      </x:c>
      <x:c r="C70" s="2" t="str">
        <x:v>Dane</x:v>
      </x:c>
      <x:c r="D70" s="2" t="str">
        <x:v>Day 2 09:01:36</x:v>
      </x:c>
      <x:c r="E70" s="2" t="str">
        <x:v>cast</x:v>
      </x:c>
      <x:c r="F70" s="2" t="str">
        <x:v>Interpose</x:v>
      </x:c>
      <x:c r="G70" s="31" t="n">
        <x:v>65</x:v>
      </x:c>
      <x:c r="H70" s="31" t="n">
        <x:f>N67</x:f>
        <x:v>65</x:v>
      </x:c>
      <x:c r="I70" s="31" t="n">
        <x:f>IF(AND(ISNUMBER(G70),ISNUMBER(H70)),H70-G70,"")</x:f>
        <x:v>0</x:v>
      </x:c>
      <x:c r="J70" s="31" t="n">
        <x:v>15</x:v>
      </x:c>
      <x:c r="K70" s="31" t="n">
        <x:v>0</x:v>
      </x:c>
      <x:c r="L70" s="31" t="n">
        <x:f>IF(AND(ISNUMBER(K70),ISNUMBER('Rules'!$B$10)),K70*'Rules'!$B$10,"")</x:f>
        <x:v>0</x:v>
      </x:c>
      <x:c r="M70" s="31" t="n">
        <x:f>'Rules'!$B$8+'Rules'!$B$9*('XP events'!J27-1)</x:f>
        <x:v>85</x:v>
      </x:c>
      <x:c r="N70" s="31" t="n">
        <x:f>IF(AND(ISNUMBER(H70),ISNUMBER(J70),ISNUMBER(L70),ISNUMBER(M70)),MIN(M70,H70-J70+L70),"")</x:f>
        <x:v>50</x:v>
      </x:c>
      <x:c r="O70" s="31" t="n">
        <x:v>50</x:v>
      </x:c>
      <x:c r="P70" s="31" t="n">
        <x:f>IF(AND(ISNUMBER(O70),ISNUMBER(N70)),N70-O70,"")</x:f>
        <x:v>0</x:v>
      </x:c>
      <x:c r="Q70" s="31" t="n">
        <x:f>IF(E70="cast",J70-INDEX('Rules'!$G$15:$G$23,MATCH(F70,'Rules'!$F$15:$F$23,0)),"")</x:f>
        <x:v>0</x:v>
      </x:c>
    </x:row>
    <x:row r="71" ht="22" customHeight="1">
      <x:c r="A71" s="17" t="str">
        <x:v>C08E07</x:v>
      </x:c>
      <x:c r="B71" s="51" t="n">
        <x:v>8</x:v>
      </x:c>
      <x:c r="C71" s="17" t="str">
        <x:v>Owen</x:v>
      </x:c>
      <x:c r="D71" s="17" t="str">
        <x:v>Day 2 09:03:00</x:v>
      </x:c>
      <x:c r="E71" s="17" t="str">
        <x:v>cast</x:v>
      </x:c>
      <x:c r="F71" s="17" t="str">
        <x:v>Staunch</x:v>
      </x:c>
      <x:c r="G71" s="42" t="n">
        <x:v>85</x:v>
      </x:c>
      <x:c r="H71" s="42" t="n">
        <x:f>N56</x:f>
        <x:v>85</x:v>
      </x:c>
      <x:c r="I71" s="42" t="n">
        <x:f>IF(AND(ISNUMBER(G71),ISNUMBER(H71)),H71-G71,"")</x:f>
        <x:v>0</x:v>
      </x:c>
      <x:c r="J71" s="42" t="n">
        <x:v>10</x:v>
      </x:c>
      <x:c r="K71" s="42" t="n">
        <x:v>0</x:v>
      </x:c>
      <x:c r="L71" s="42" t="n">
        <x:f>IF(AND(ISNUMBER(K71),ISNUMBER('Rules'!$B$10)),K71*'Rules'!$B$10,"")</x:f>
        <x:v>0</x:v>
      </x:c>
      <x:c r="M71" s="42" t="n">
        <x:f>'Rules'!$B$8+'Rules'!$B$9*('XP events'!J26-1)</x:f>
        <x:v>85</x:v>
      </x:c>
      <x:c r="N71" s="42" t="n">
        <x:f>IF(AND(ISNUMBER(H71),ISNUMBER(J71),ISNUMBER(L71),ISNUMBER(M71)),MIN(M71,H71-J71+L71),"")</x:f>
        <x:v>75</x:v>
      </x:c>
      <x:c r="O71" s="42" t="n">
        <x:v>75</x:v>
      </x:c>
      <x:c r="P71" s="42" t="n">
        <x:f>IF(AND(ISNUMBER(O71),ISNUMBER(N71)),N71-O71,"")</x:f>
        <x:v>0</x:v>
      </x:c>
      <x:c r="Q71" s="42" t="n">
        <x:f>IF(E71="cast",J71-INDEX('Rules'!$G$15:$G$23,MATCH(F71,'Rules'!$F$15:$F$23,0)),"")</x:f>
        <x:v>0</x:v>
      </x:c>
    </x:row>
    <x:row r="72" ht="22" customHeight="1">
      <x:c r="A72" s="2" t="str">
        <x:v>C09E01</x:v>
      </x:c>
      <x:c r="B72" s="50" t="n">
        <x:v>9</x:v>
      </x:c>
      <x:c r="C72" s="2" t="str">
        <x:v>Tessa</x:v>
      </x:c>
      <x:c r="D72" s="2" t="str">
        <x:v>Day 2 09:25:00</x:v>
      </x:c>
      <x:c r="E72" s="2" t="str">
        <x:v>cast</x:v>
      </x:c>
      <x:c r="F72" s="2" t="str">
        <x:v>Trail Sight</x:v>
      </x:c>
      <x:c r="G72" s="31" t="n">
        <x:v>60</x:v>
      </x:c>
      <x:c r="H72" s="31" t="n">
        <x:f>N66</x:f>
        <x:v>60</x:v>
      </x:c>
      <x:c r="I72" s="31" t="n">
        <x:f>IF(AND(ISNUMBER(G72),ISNUMBER(H72)),H72-G72,"")</x:f>
        <x:v>0</x:v>
      </x:c>
      <x:c r="J72" s="31" t="n">
        <x:v>15</x:v>
      </x:c>
      <x:c r="K72" s="31" t="n">
        <x:v>0</x:v>
      </x:c>
      <x:c r="L72" s="31" t="n">
        <x:f>IF(AND(ISNUMBER(K72),ISNUMBER('Rules'!$B$10)),K72*'Rules'!$B$10,"")</x:f>
        <x:v>0</x:v>
      </x:c>
      <x:c r="M72" s="31" t="n">
        <x:f>'Rules'!$B$8+'Rules'!$B$9*('XP events'!J29-1)</x:f>
        <x:v>70</x:v>
      </x:c>
      <x:c r="N72" s="31" t="n">
        <x:f>IF(AND(ISNUMBER(H72),ISNUMBER(J72),ISNUMBER(L72),ISNUMBER(M72)),MIN(M72,H72-J72+L72),"")</x:f>
        <x:v>45</x:v>
      </x:c>
      <x:c r="O72" s="31" t="n">
        <x:v>45</x:v>
      </x:c>
      <x:c r="P72" s="31" t="n">
        <x:f>IF(AND(ISNUMBER(O72),ISNUMBER(N72)),N72-O72,"")</x:f>
        <x:v>0</x:v>
      </x:c>
      <x:c r="Q72" s="31" t="n">
        <x:f>IF(E72="cast",J72-INDEX('Rules'!$G$15:$G$23,MATCH(F72,'Rules'!$F$15:$F$23,0)),"")</x:f>
        <x:v>0</x:v>
      </x:c>
    </x:row>
    <x:row r="73" ht="22" customHeight="1">
      <x:c r="A73" s="17" t="str">
        <x:v>C09E02</x:v>
      </x:c>
      <x:c r="B73" s="51" t="n">
        <x:v>9</x:v>
      </x:c>
      <x:c r="C73" s="17" t="str">
        <x:v>Kip</x:v>
      </x:c>
      <x:c r="D73" s="17" t="str">
        <x:v>Day 2 09:30:00</x:v>
      </x:c>
      <x:c r="E73" s="17" t="str">
        <x:v>cast</x:v>
      </x:c>
      <x:c r="F73" s="17" t="str">
        <x:v>Sovereign Ward</x:v>
      </x:c>
      <x:c r="G73" s="42" t="n">
        <x:v>25</x:v>
      </x:c>
      <x:c r="H73" s="42" t="n">
        <x:f>N69</x:f>
        <x:v>25</x:v>
      </x:c>
      <x:c r="I73" s="42" t="n">
        <x:f>IF(AND(ISNUMBER(G73),ISNUMBER(H73)),H73-G73,"")</x:f>
        <x:v>0</x:v>
      </x:c>
      <x:c r="J73" s="42" t="n">
        <x:v>15</x:v>
      </x:c>
      <x:c r="K73" s="42" t="n">
        <x:v>0</x:v>
      </x:c>
      <x:c r="L73" s="42" t="n">
        <x:f>IF(AND(ISNUMBER(K73),ISNUMBER('Rules'!$B$10)),K73*'Rules'!$B$10,"")</x:f>
        <x:v>0</x:v>
      </x:c>
      <x:c r="M73" s="42" t="n">
        <x:f>'Rules'!$B$8+'Rules'!$B$9*('XP events'!J28-1)</x:f>
        <x:v>60</x:v>
      </x:c>
      <x:c r="N73" s="42" t="n">
        <x:f>IF(AND(ISNUMBER(H73),ISNUMBER(J73),ISNUMBER(L73),ISNUMBER(M73)),MIN(M73,H73-J73+L73),"")</x:f>
        <x:v>10</x:v>
      </x:c>
      <x:c r="O73" s="42" t="n">
        <x:v>10</x:v>
      </x:c>
      <x:c r="P73" s="42" t="n">
        <x:f>IF(AND(ISNUMBER(O73),ISNUMBER(N73)),N73-O73,"")</x:f>
        <x:v>0</x:v>
      </x:c>
      <x:c r="Q73" s="42" t="n">
        <x:f>IF(E73="cast",J73-INDEX('Rules'!$G$15:$G$23,MATCH(F73,'Rules'!$F$15:$F$23,0)),"")</x:f>
        <x:v>0</x:v>
      </x:c>
    </x:row>
    <x:row r="74" ht="22" customHeight="1">
      <x:c r="A74" s="2" t="str">
        <x:v>C09E03</x:v>
      </x:c>
      <x:c r="B74" s="50" t="n">
        <x:v>9</x:v>
      </x:c>
      <x:c r="C74" s="2" t="str">
        <x:v>Dane</x:v>
      </x:c>
      <x:c r="D74" s="2" t="str">
        <x:v>Day 2 09:30:06</x:v>
      </x:c>
      <x:c r="E74" s="2" t="str">
        <x:v>cast</x:v>
      </x:c>
      <x:c r="F74" s="2" t="str">
        <x:v>Interpose</x:v>
      </x:c>
      <x:c r="G74" s="31" t="n">
        <x:v>50</x:v>
      </x:c>
      <x:c r="H74" s="31" t="n">
        <x:f>N70</x:f>
        <x:v>50</x:v>
      </x:c>
      <x:c r="I74" s="31" t="n">
        <x:f>IF(AND(ISNUMBER(G74),ISNUMBER(H74)),H74-G74,"")</x:f>
        <x:v>0</x:v>
      </x:c>
      <x:c r="J74" s="31" t="n">
        <x:v>15</x:v>
      </x:c>
      <x:c r="K74" s="31" t="n">
        <x:v>0</x:v>
      </x:c>
      <x:c r="L74" s="31" t="n">
        <x:f>IF(AND(ISNUMBER(K74),ISNUMBER('Rules'!$B$10)),K74*'Rules'!$B$10,"")</x:f>
        <x:v>0</x:v>
      </x:c>
      <x:c r="M74" s="31" t="n">
        <x:f>'Rules'!$B$8+'Rules'!$B$9*('XP events'!J31-1)</x:f>
        <x:v>85</x:v>
      </x:c>
      <x:c r="N74" s="31" t="n">
        <x:f>IF(AND(ISNUMBER(H74),ISNUMBER(J74),ISNUMBER(L74),ISNUMBER(M74)),MIN(M74,H74-J74+L74),"")</x:f>
        <x:v>35</x:v>
      </x:c>
      <x:c r="O74" s="31" t="n">
        <x:v>35</x:v>
      </x:c>
      <x:c r="P74" s="31" t="n">
        <x:f>IF(AND(ISNUMBER(O74),ISNUMBER(N74)),N74-O74,"")</x:f>
        <x:v>0</x:v>
      </x:c>
      <x:c r="Q74" s="31" t="n">
        <x:f>IF(E74="cast",J74-INDEX('Rules'!$G$15:$G$23,MATCH(F74,'Rules'!$F$15:$F$23,0)),"")</x:f>
        <x:v>0</x:v>
      </x:c>
    </x:row>
    <x:row r="75" ht="22" customHeight="1">
      <x:c r="A75" s="17" t="str">
        <x:v>C09E04</x:v>
      </x:c>
      <x:c r="B75" s="51" t="n">
        <x:v>9</x:v>
      </x:c>
      <x:c r="C75" s="17" t="str">
        <x:v>Owen</x:v>
      </x:c>
      <x:c r="D75" s="17" t="str">
        <x:v>Day 2 09:35:00</x:v>
      </x:c>
      <x:c r="E75" s="17" t="str">
        <x:v>cast</x:v>
      </x:c>
      <x:c r="F75" s="17" t="str">
        <x:v>Mend</x:v>
      </x:c>
      <x:c r="G75" s="42" t="n">
        <x:v>75</x:v>
      </x:c>
      <x:c r="H75" s="42" t="n">
        <x:f>N71</x:f>
        <x:v>75</x:v>
      </x:c>
      <x:c r="I75" s="42" t="n">
        <x:f>IF(AND(ISNUMBER(G75),ISNUMBER(H75)),H75-G75,"")</x:f>
        <x:v>0</x:v>
      </x:c>
      <x:c r="J75" s="42" t="n">
        <x:v>20</x:v>
      </x:c>
      <x:c r="K75" s="42" t="n">
        <x:v>0</x:v>
      </x:c>
      <x:c r="L75" s="42" t="n">
        <x:f>IF(AND(ISNUMBER(K75),ISNUMBER('Rules'!$B$10)),K75*'Rules'!$B$10,"")</x:f>
        <x:v>0</x:v>
      </x:c>
      <x:c r="M75" s="42" t="n">
        <x:f>'Rules'!$B$8+'Rules'!$B$9*('XP events'!J30-1)</x:f>
        <x:v>85</x:v>
      </x:c>
      <x:c r="N75" s="42" t="n">
        <x:f>IF(AND(ISNUMBER(H75),ISNUMBER(J75),ISNUMBER(L75),ISNUMBER(M75)),MIN(M75,H75-J75+L75),"")</x:f>
        <x:v>55</x:v>
      </x:c>
      <x:c r="O75" s="42" t="n">
        <x:v>55</x:v>
      </x:c>
      <x:c r="P75" s="42" t="n">
        <x:f>IF(AND(ISNUMBER(O75),ISNUMBER(N75)),N75-O75,"")</x:f>
        <x:v>0</x:v>
      </x:c>
      <x:c r="Q75" s="42" t="n">
        <x:f>IF(E75="cast",J75-INDEX('Rules'!$G$15:$G$23,MATCH(F75,'Rules'!$F$15:$F$23,0)),"")</x:f>
        <x:v>0</x:v>
      </x:c>
    </x:row>
    <x:row r="76" ht="22" customHeight="1">
      <x:c r="A76" s="2" t="str">
        <x:v>C09E06</x:v>
      </x:c>
      <x:c r="B76" s="50" t="n">
        <x:v>9</x:v>
      </x:c>
      <x:c r="C76" s="2" t="str">
        <x:v>Kip</x:v>
      </x:c>
      <x:c r="D76" s="2" t="str">
        <x:v>Day 2 10:00:00</x:v>
      </x:c>
      <x:c r="E76" s="2" t="str">
        <x:v>rest</x:v>
      </x:c>
      <x:c r="F76" s="2"/>
      <x:c r="G76" s="31" t="n">
        <x:v>10</x:v>
      </x:c>
      <x:c r="H76" s="31" t="n">
        <x:f>N73</x:f>
        <x:v>10</x:v>
      </x:c>
      <x:c r="I76" s="31" t="n">
        <x:f>IF(AND(ISNUMBER(G76),ISNUMBER(H76)),H76-G76,"")</x:f>
        <x:v>0</x:v>
      </x:c>
      <x:c r="J76" s="31" t="n">
        <x:v>0</x:v>
      </x:c>
      <x:c r="K76" s="31" t="n">
        <x:v>11</x:v>
      </x:c>
      <x:c r="L76" s="31" t="n">
        <x:f>IF(AND(ISNUMBER(K76),ISNUMBER('Rules'!$B$10)),K76*'Rules'!$B$10,"")</x:f>
        <x:v>55</x:v>
      </x:c>
      <x:c r="M76" s="31" t="n">
        <x:f>'Rules'!$B$8+'Rules'!$B$9*('XP events'!J32-1)</x:f>
        <x:v>65</x:v>
      </x:c>
      <x:c r="N76" s="31" t="n">
        <x:f>IF(AND(ISNUMBER(H76),ISNUMBER(J76),ISNUMBER(L76),ISNUMBER(M76)),MIN(M76,H76-J76+L76),"")</x:f>
        <x:v>65</x:v>
      </x:c>
      <x:c r="O76" s="31" t="n">
        <x:v>65</x:v>
      </x:c>
      <x:c r="P76" s="31" t="n">
        <x:f>IF(AND(ISNUMBER(O76),ISNUMBER(N76)),N76-O76,"")</x:f>
        <x:v>0</x:v>
      </x:c>
      <x:c r="Q76" s="31" t="str">
        <x:f>IF(E76="cast",J76-INDEX('Rules'!$G$15:$G$23,MATCH(F76,'Rules'!$F$15:$F$23,0)),"")</x:f>
      </x:c>
    </x:row>
    <x:row r="77" ht="22" customHeight="1">
      <x:c r="A77" s="17" t="str">
        <x:v>C09E07</x:v>
      </x:c>
      <x:c r="B77" s="51" t="n">
        <x:v>9</x:v>
      </x:c>
      <x:c r="C77" s="17" t="str">
        <x:v>Tessa</x:v>
      </x:c>
      <x:c r="D77" s="17" t="str">
        <x:v>Day 2 10:00:00</x:v>
      </x:c>
      <x:c r="E77" s="17" t="str">
        <x:v>rest</x:v>
      </x:c>
      <x:c r="F77" s="17"/>
      <x:c r="G77" s="42" t="n">
        <x:v>45</x:v>
      </x:c>
      <x:c r="H77" s="42" t="n">
        <x:f>N72</x:f>
        <x:v>45</x:v>
      </x:c>
      <x:c r="I77" s="42" t="n">
        <x:f>IF(AND(ISNUMBER(G77),ISNUMBER(H77)),H77-G77,"")</x:f>
        <x:v>0</x:v>
      </x:c>
      <x:c r="J77" s="42" t="n">
        <x:v>0</x:v>
      </x:c>
      <x:c r="K77" s="42" t="n">
        <x:v>5</x:v>
      </x:c>
      <x:c r="L77" s="42" t="n">
        <x:f>IF(AND(ISNUMBER(K77),ISNUMBER('Rules'!$B$10)),K77*'Rules'!$B$10,"")</x:f>
        <x:v>25</x:v>
      </x:c>
      <x:c r="M77" s="42" t="n">
        <x:f>'Rules'!$B$8+'Rules'!$B$9*('XP events'!J33-1)</x:f>
        <x:v>70</x:v>
      </x:c>
      <x:c r="N77" s="42" t="n">
        <x:f>IF(AND(ISNUMBER(H77),ISNUMBER(J77),ISNUMBER(L77),ISNUMBER(M77)),MIN(M77,H77-J77+L77),"")</x:f>
        <x:v>70</x:v>
      </x:c>
      <x:c r="O77" s="42" t="n">
        <x:v>70</x:v>
      </x:c>
      <x:c r="P77" s="42" t="n">
        <x:f>IF(AND(ISNUMBER(O77),ISNUMBER(N77)),N77-O77,"")</x:f>
        <x:v>0</x:v>
      </x:c>
      <x:c r="Q77" s="42" t="str">
        <x:f>IF(E77="cast",J77-INDEX('Rules'!$G$15:$G$23,MATCH(F77,'Rules'!$F$15:$F$23,0)),"")</x:f>
      </x:c>
    </x:row>
    <x:row r="78" ht="22" customHeight="1">
      <x:c r="A78" s="2" t="str">
        <x:v>C09E08</x:v>
      </x:c>
      <x:c r="B78" s="50" t="n">
        <x:v>9</x:v>
      </x:c>
      <x:c r="C78" s="2" t="str">
        <x:v>Owen</x:v>
      </x:c>
      <x:c r="D78" s="2" t="str">
        <x:v>Day 2 10:00:00</x:v>
      </x:c>
      <x:c r="E78" s="2" t="str">
        <x:v>rest</x:v>
      </x:c>
      <x:c r="F78" s="2"/>
      <x:c r="G78" s="31" t="n">
        <x:v>55</x:v>
      </x:c>
      <x:c r="H78" s="31" t="n">
        <x:f>N75</x:f>
        <x:v>55</x:v>
      </x:c>
      <x:c r="I78" s="31" t="n">
        <x:f>IF(AND(ISNUMBER(G78),ISNUMBER(H78)),H78-G78,"")</x:f>
        <x:v>0</x:v>
      </x:c>
      <x:c r="J78" s="31" t="n">
        <x:v>0</x:v>
      </x:c>
      <x:c r="K78" s="31" t="n">
        <x:v>6</x:v>
      </x:c>
      <x:c r="L78" s="31" t="n">
        <x:f>IF(AND(ISNUMBER(K78),ISNUMBER('Rules'!$B$10)),K78*'Rules'!$B$10,"")</x:f>
        <x:v>30</x:v>
      </x:c>
      <x:c r="M78" s="31" t="n">
        <x:f>'Rules'!$B$8+'Rules'!$B$9*('XP events'!J34-1)</x:f>
        <x:v>85</x:v>
      </x:c>
      <x:c r="N78" s="31" t="n">
        <x:f>IF(AND(ISNUMBER(H78),ISNUMBER(J78),ISNUMBER(L78),ISNUMBER(M78)),MIN(M78,H78-J78+L78),"")</x:f>
        <x:v>85</x:v>
      </x:c>
      <x:c r="O78" s="31" t="n">
        <x:v>85</x:v>
      </x:c>
      <x:c r="P78" s="31" t="n">
        <x:f>IF(AND(ISNUMBER(O78),ISNUMBER(N78)),N78-O78,"")</x:f>
        <x:v>0</x:v>
      </x:c>
      <x:c r="Q78" s="31" t="str">
        <x:f>IF(E78="cast",J78-INDEX('Rules'!$G$15:$G$23,MATCH(F78,'Rules'!$F$15:$F$23,0)),"")</x:f>
      </x:c>
    </x:row>
    <x:row r="79" ht="22" customHeight="1">
      <x:c r="A79" s="17" t="str">
        <x:v>C09E09</x:v>
      </x:c>
      <x:c r="B79" s="51" t="n">
        <x:v>9</x:v>
      </x:c>
      <x:c r="C79" s="17" t="str">
        <x:v>Dane</x:v>
      </x:c>
      <x:c r="D79" s="17" t="str">
        <x:v>Day 2 10:12:00</x:v>
      </x:c>
      <x:c r="E79" s="17" t="str">
        <x:v>rest</x:v>
      </x:c>
      <x:c r="F79" s="17"/>
      <x:c r="G79" s="42" t="n">
        <x:v>35</x:v>
      </x:c>
      <x:c r="H79" s="42" t="n">
        <x:f>N74</x:f>
        <x:v>35</x:v>
      </x:c>
      <x:c r="I79" s="42" t="n">
        <x:f>IF(AND(ISNUMBER(G79),ISNUMBER(H79)),H79-G79,"")</x:f>
        <x:v>0</x:v>
      </x:c>
      <x:c r="J79" s="42" t="n">
        <x:v>0</x:v>
      </x:c>
      <x:c r="K79" s="42" t="n">
        <x:v>10</x:v>
      </x:c>
      <x:c r="L79" s="42" t="n">
        <x:f>IF(AND(ISNUMBER(K79),ISNUMBER('Rules'!$B$10)),K79*'Rules'!$B$10,"")</x:f>
        <x:v>50</x:v>
      </x:c>
      <x:c r="M79" s="42" t="n">
        <x:f>'Rules'!$B$8+'Rules'!$B$9*('XP events'!J35-1)</x:f>
        <x:v>85</x:v>
      </x:c>
      <x:c r="N79" s="42" t="n">
        <x:f>IF(AND(ISNUMBER(H79),ISNUMBER(J79),ISNUMBER(L79),ISNUMBER(M79)),MIN(M79,H79-J79+L79),"")</x:f>
        <x:v>85</x:v>
      </x:c>
      <x:c r="O79" s="42" t="n">
        <x:v>85</x:v>
      </x:c>
      <x:c r="P79" s="42" t="n">
        <x:f>IF(AND(ISNUMBER(O79),ISNUMBER(N79)),N79-O79,"")</x:f>
        <x:v>0</x:v>
      </x:c>
      <x:c r="Q79" s="42" t="str">
        <x:f>IF(E79="cast",J79-INDEX('Rules'!$G$15:$G$23,MATCH(F79,'Rules'!$F$15:$F$23,0)),"")</x:f>
      </x:c>
    </x:row>
    <x:row r="80" ht="22" customHeight="1">
      <x:c r="A80" s="2" t="str">
        <x:v>C10E01</x:v>
      </x:c>
      <x:c r="B80" s="50" t="n">
        <x:v>10</x:v>
      </x:c>
      <x:c r="C80" s="2" t="str">
        <x:v>Tessa</x:v>
      </x:c>
      <x:c r="D80" s="2" t="str">
        <x:v>Day 2 12:10:00</x:v>
      </x:c>
      <x:c r="E80" s="2" t="str">
        <x:v>cast</x:v>
      </x:c>
      <x:c r="F80" s="2" t="str">
        <x:v>Trail Sight</x:v>
      </x:c>
      <x:c r="G80" s="31" t="n">
        <x:v>70</x:v>
      </x:c>
      <x:c r="H80" s="31" t="n">
        <x:f>N77</x:f>
        <x:v>70</x:v>
      </x:c>
      <x:c r="I80" s="31" t="n">
        <x:f>IF(AND(ISNUMBER(G80),ISNUMBER(H80)),H80-G80,"")</x:f>
        <x:v>0</x:v>
      </x:c>
      <x:c r="J80" s="31" t="n">
        <x:v>15</x:v>
      </x:c>
      <x:c r="K80" s="31" t="n">
        <x:v>0</x:v>
      </x:c>
      <x:c r="L80" s="31" t="n">
        <x:f>IF(AND(ISNUMBER(K80),ISNUMBER('Rules'!$B$10)),K80*'Rules'!$B$10,"")</x:f>
        <x:v>0</x:v>
      </x:c>
      <x:c r="M80" s="31" t="n">
        <x:f>'Rules'!$B$8+'Rules'!$B$9*('XP events'!J33-1)</x:f>
        <x:v>70</x:v>
      </x:c>
      <x:c r="N80" s="31" t="n">
        <x:f>IF(AND(ISNUMBER(H80),ISNUMBER(J80),ISNUMBER(L80),ISNUMBER(M80)),MIN(M80,H80-J80+L80),"")</x:f>
        <x:v>55</x:v>
      </x:c>
      <x:c r="O80" s="31" t="n">
        <x:v>55</x:v>
      </x:c>
      <x:c r="P80" s="31" t="n">
        <x:f>IF(AND(ISNUMBER(O80),ISNUMBER(N80)),N80-O80,"")</x:f>
        <x:v>0</x:v>
      </x:c>
      <x:c r="Q80" s="31" t="n">
        <x:f>IF(E80="cast",J80-INDEX('Rules'!$G$15:$G$23,MATCH(F80,'Rules'!$F$15:$F$23,0)),"")</x:f>
        <x:v>0</x:v>
      </x:c>
    </x:row>
    <x:row r="81" ht="22" customHeight="1">
      <x:c r="A81" s="17" t="str">
        <x:v>C10E02</x:v>
      </x:c>
      <x:c r="B81" s="51" t="n">
        <x:v>10</x:v>
      </x:c>
      <x:c r="C81" s="17" t="str">
        <x:v>Tessa</x:v>
      </x:c>
      <x:c r="D81" s="17" t="str">
        <x:v>Day 2 12:20:00</x:v>
      </x:c>
      <x:c r="E81" s="17" t="str">
        <x:v>cast</x:v>
      </x:c>
      <x:c r="F81" s="17" t="str">
        <x:v>Quickstep</x:v>
      </x:c>
      <x:c r="G81" s="42" t="n">
        <x:v>55</x:v>
      </x:c>
      <x:c r="H81" s="42" t="n">
        <x:f>N80</x:f>
        <x:v>55</x:v>
      </x:c>
      <x:c r="I81" s="42" t="n">
        <x:f>IF(AND(ISNUMBER(G81),ISNUMBER(H81)),H81-G81,"")</x:f>
        <x:v>0</x:v>
      </x:c>
      <x:c r="J81" s="42" t="n">
        <x:v>10</x:v>
      </x:c>
      <x:c r="K81" s="42" t="n">
        <x:v>0</x:v>
      </x:c>
      <x:c r="L81" s="42" t="n">
        <x:f>IF(AND(ISNUMBER(K81),ISNUMBER('Rules'!$B$10)),K81*'Rules'!$B$10,"")</x:f>
        <x:v>0</x:v>
      </x:c>
      <x:c r="M81" s="42" t="n">
        <x:f>'Rules'!$B$8+'Rules'!$B$9*('XP events'!J33-1)</x:f>
        <x:v>70</x:v>
      </x:c>
      <x:c r="N81" s="42" t="n">
        <x:f>IF(AND(ISNUMBER(H81),ISNUMBER(J81),ISNUMBER(L81),ISNUMBER(M81)),MIN(M81,H81-J81+L81),"")</x:f>
        <x:v>45</x:v>
      </x:c>
      <x:c r="O81" s="42" t="n">
        <x:v>45</x:v>
      </x:c>
      <x:c r="P81" s="42" t="n">
        <x:f>IF(AND(ISNUMBER(O81),ISNUMBER(N81)),N81-O81,"")</x:f>
        <x:v>0</x:v>
      </x:c>
      <x:c r="Q81" s="42" t="n">
        <x:f>IF(E81="cast",J81-INDEX('Rules'!$G$15:$G$23,MATCH(F81,'Rules'!$F$15:$F$23,0)),"")</x:f>
        <x:v>0</x:v>
      </x:c>
    </x:row>
    <x:row r="82" ht="22" customHeight="1">
      <x:c r="A82" s="2" t="str">
        <x:v>C10E03</x:v>
      </x:c>
      <x:c r="B82" s="50" t="n">
        <x:v>10</x:v>
      </x:c>
      <x:c r="C82" s="2" t="str">
        <x:v>Kip</x:v>
      </x:c>
      <x:c r="D82" s="2" t="str">
        <x:v>Day 2 12:20:03</x:v>
      </x:c>
      <x:c r="E82" s="2" t="str">
        <x:v>cast</x:v>
      </x:c>
      <x:c r="F82" s="2" t="str">
        <x:v>Override</x:v>
      </x:c>
      <x:c r="G82" s="31" t="n">
        <x:v>65</x:v>
      </x:c>
      <x:c r="H82" s="31" t="n">
        <x:f>N76</x:f>
        <x:v>65</x:v>
      </x:c>
      <x:c r="I82" s="31" t="n">
        <x:f>IF(AND(ISNUMBER(G82),ISNUMBER(H82)),H82-G82,"")</x:f>
        <x:v>0</x:v>
      </x:c>
      <x:c r="J82" s="31" t="n">
        <x:v>10</x:v>
      </x:c>
      <x:c r="K82" s="31" t="n">
        <x:v>0</x:v>
      </x:c>
      <x:c r="L82" s="31" t="n">
        <x:f>IF(AND(ISNUMBER(K82),ISNUMBER('Rules'!$B$10)),K82*'Rules'!$B$10,"")</x:f>
        <x:v>0</x:v>
      </x:c>
      <x:c r="M82" s="31" t="n">
        <x:f>'Rules'!$B$8+'Rules'!$B$9*('XP events'!J32-1)</x:f>
        <x:v>65</x:v>
      </x:c>
      <x:c r="N82" s="31" t="n">
        <x:f>IF(AND(ISNUMBER(H82),ISNUMBER(J82),ISNUMBER(L82),ISNUMBER(M82)),MIN(M82,H82-J82+L82),"")</x:f>
        <x:v>55</x:v>
      </x:c>
      <x:c r="O82" s="31" t="n">
        <x:v>55</x:v>
      </x:c>
      <x:c r="P82" s="31" t="n">
        <x:f>IF(AND(ISNUMBER(O82),ISNUMBER(N82)),N82-O82,"")</x:f>
        <x:v>0</x:v>
      </x:c>
      <x:c r="Q82" s="31" t="n">
        <x:f>IF(E82="cast",J82-INDEX('Rules'!$G$15:$G$23,MATCH(F82,'Rules'!$F$15:$F$23,0)),"")</x:f>
        <x:v>0</x:v>
      </x:c>
    </x:row>
    <x:row r="83" ht="22" customHeight="1">
      <x:c r="A83" s="17" t="str">
        <x:v>C10E04</x:v>
      </x:c>
      <x:c r="B83" s="51" t="n">
        <x:v>10</x:v>
      </x:c>
      <x:c r="C83" s="17" t="str">
        <x:v>Dane</x:v>
      </x:c>
      <x:c r="D83" s="17" t="str">
        <x:v>Day 2 12:20:05</x:v>
      </x:c>
      <x:c r="E83" s="17" t="str">
        <x:v>cast</x:v>
      </x:c>
      <x:c r="F83" s="17" t="str">
        <x:v>Bulwark</x:v>
      </x:c>
      <x:c r="G83" s="42" t="n">
        <x:v>85</x:v>
      </x:c>
      <x:c r="H83" s="42" t="n">
        <x:f>N79</x:f>
        <x:v>85</x:v>
      </x:c>
      <x:c r="I83" s="42" t="n">
        <x:f>IF(AND(ISNUMBER(G83),ISNUMBER(H83)),H83-G83,"")</x:f>
        <x:v>0</x:v>
      </x:c>
      <x:c r="J83" s="42" t="n">
        <x:v>20</x:v>
      </x:c>
      <x:c r="K83" s="42" t="n">
        <x:v>0</x:v>
      </x:c>
      <x:c r="L83" s="42" t="n">
        <x:f>IF(AND(ISNUMBER(K83),ISNUMBER('Rules'!$B$10)),K83*'Rules'!$B$10,"")</x:f>
        <x:v>0</x:v>
      </x:c>
      <x:c r="M83" s="42" t="n">
        <x:f>'Rules'!$B$8+'Rules'!$B$9*('XP events'!J35-1)</x:f>
        <x:v>85</x:v>
      </x:c>
      <x:c r="N83" s="42" t="n">
        <x:f>IF(AND(ISNUMBER(H83),ISNUMBER(J83),ISNUMBER(L83),ISNUMBER(M83)),MIN(M83,H83-J83+L83),"")</x:f>
        <x:v>65</x:v>
      </x:c>
      <x:c r="O83" s="42" t="n">
        <x:v>65</x:v>
      </x:c>
      <x:c r="P83" s="42" t="n">
        <x:f>IF(AND(ISNUMBER(O83),ISNUMBER(N83)),N83-O83,"")</x:f>
        <x:v>0</x:v>
      </x:c>
      <x:c r="Q83" s="42" t="n">
        <x:f>IF(E83="cast",J83-INDEX('Rules'!$G$15:$G$23,MATCH(F83,'Rules'!$F$15:$F$23,0)),"")</x:f>
        <x:v>0</x:v>
      </x:c>
    </x:row>
    <x:row r="84" ht="22" customHeight="1">
      <x:c r="A84" s="2" t="str">
        <x:v>C10E05</x:v>
      </x:c>
      <x:c r="B84" s="50" t="n">
        <x:v>10</x:v>
      </x:c>
      <x:c r="C84" s="2" t="str">
        <x:v>Kip</x:v>
      </x:c>
      <x:c r="D84" s="2" t="str">
        <x:v>Day 2 12:20:06</x:v>
      </x:c>
      <x:c r="E84" s="2" t="str">
        <x:v>cast</x:v>
      </x:c>
      <x:c r="F84" s="2" t="str">
        <x:v>Sovereign Ward</x:v>
      </x:c>
      <x:c r="G84" s="31" t="n">
        <x:v>55</x:v>
      </x:c>
      <x:c r="H84" s="31" t="n">
        <x:f>N82</x:f>
        <x:v>55</x:v>
      </x:c>
      <x:c r="I84" s="31" t="n">
        <x:f>IF(AND(ISNUMBER(G84),ISNUMBER(H84)),H84-G84,"")</x:f>
        <x:v>0</x:v>
      </x:c>
      <x:c r="J84" s="31" t="n">
        <x:v>15</x:v>
      </x:c>
      <x:c r="K84" s="31" t="n">
        <x:v>0</x:v>
      </x:c>
      <x:c r="L84" s="31" t="n">
        <x:f>IF(AND(ISNUMBER(K84),ISNUMBER('Rules'!$B$10)),K84*'Rules'!$B$10,"")</x:f>
        <x:v>0</x:v>
      </x:c>
      <x:c r="M84" s="31" t="n">
        <x:f>'Rules'!$B$8+'Rules'!$B$9*('XP events'!J32-1)</x:f>
        <x:v>65</x:v>
      </x:c>
      <x:c r="N84" s="31" t="n">
        <x:f>IF(AND(ISNUMBER(H84),ISNUMBER(J84),ISNUMBER(L84),ISNUMBER(M84)),MIN(M84,H84-J84+L84),"")</x:f>
        <x:v>40</x:v>
      </x:c>
      <x:c r="O84" s="31" t="n">
        <x:v>40</x:v>
      </x:c>
      <x:c r="P84" s="31" t="n">
        <x:f>IF(AND(ISNUMBER(O84),ISNUMBER(N84)),N84-O84,"")</x:f>
        <x:v>0</x:v>
      </x:c>
      <x:c r="Q84" s="31" t="n">
        <x:f>IF(E84="cast",J84-INDEX('Rules'!$G$15:$G$23,MATCH(F84,'Rules'!$F$15:$F$23,0)),"")</x:f>
        <x:v>0</x:v>
      </x:c>
    </x:row>
    <x:row r="85" ht="22" customHeight="1">
      <x:c r="A85" s="17" t="str">
        <x:v>C10E06</x:v>
      </x:c>
      <x:c r="B85" s="51" t="n">
        <x:v>10</x:v>
      </x:c>
      <x:c r="C85" s="17" t="str">
        <x:v>Owen</x:v>
      </x:c>
      <x:c r="D85" s="17" t="str">
        <x:v>Day 2 12:25:00</x:v>
      </x:c>
      <x:c r="E85" s="17" t="str">
        <x:v>cast</x:v>
      </x:c>
      <x:c r="F85" s="17" t="str">
        <x:v>Mend</x:v>
      </x:c>
      <x:c r="G85" s="42" t="n">
        <x:v>85</x:v>
      </x:c>
      <x:c r="H85" s="42" t="n">
        <x:f>N78</x:f>
        <x:v>85</x:v>
      </x:c>
      <x:c r="I85" s="42" t="n">
        <x:f>IF(AND(ISNUMBER(G85),ISNUMBER(H85)),H85-G85,"")</x:f>
        <x:v>0</x:v>
      </x:c>
      <x:c r="J85" s="42" t="n">
        <x:v>20</x:v>
      </x:c>
      <x:c r="K85" s="42" t="n">
        <x:v>0</x:v>
      </x:c>
      <x:c r="L85" s="42" t="n">
        <x:f>IF(AND(ISNUMBER(K85),ISNUMBER('Rules'!$B$10)),K85*'Rules'!$B$10,"")</x:f>
        <x:v>0</x:v>
      </x:c>
      <x:c r="M85" s="42" t="n">
        <x:f>'Rules'!$B$8+'Rules'!$B$9*('XP events'!J34-1)</x:f>
        <x:v>85</x:v>
      </x:c>
      <x:c r="N85" s="42" t="n">
        <x:f>IF(AND(ISNUMBER(H85),ISNUMBER(J85),ISNUMBER(L85),ISNUMBER(M85)),MIN(M85,H85-J85+L85),"")</x:f>
        <x:v>65</x:v>
      </x:c>
      <x:c r="O85" s="42" t="n">
        <x:v>65</x:v>
      </x:c>
      <x:c r="P85" s="42" t="n">
        <x:f>IF(AND(ISNUMBER(O85),ISNUMBER(N85)),N85-O85,"")</x:f>
        <x:v>0</x:v>
      </x:c>
      <x:c r="Q85" s="42" t="n">
        <x:f>IF(E85="cast",J85-INDEX('Rules'!$G$15:$G$23,MATCH(F85,'Rules'!$F$15:$F$23,0)),"")</x:f>
        <x:v>0</x:v>
      </x:c>
    </x:row>
    <x:row r="86" ht="22" customHeight="1">
      <x:c r="A86" s="2" t="str">
        <x:v>C10E08</x:v>
      </x:c>
      <x:c r="B86" s="50" t="n">
        <x:v>10</x:v>
      </x:c>
      <x:c r="C86" s="2" t="str">
        <x:v>Kip</x:v>
      </x:c>
      <x:c r="D86" s="2" t="str">
        <x:v>Day 2 12:35:00</x:v>
      </x:c>
      <x:c r="E86" s="2" t="str">
        <x:v>cast</x:v>
      </x:c>
      <x:c r="F86" s="2" t="str">
        <x:v>Claim Room</x:v>
      </x:c>
      <x:c r="G86" s="31" t="n">
        <x:v>40</x:v>
      </x:c>
      <x:c r="H86" s="31" t="n">
        <x:f>N84</x:f>
        <x:v>40</x:v>
      </x:c>
      <x:c r="I86" s="31" t="n">
        <x:f>IF(AND(ISNUMBER(G86),ISNUMBER(H86)),H86-G86,"")</x:f>
        <x:v>0</x:v>
      </x:c>
      <x:c r="J86" s="31" t="n">
        <x:v>20</x:v>
      </x:c>
      <x:c r="K86" s="31" t="n">
        <x:v>0</x:v>
      </x:c>
      <x:c r="L86" s="31" t="n">
        <x:f>IF(AND(ISNUMBER(K86),ISNUMBER('Rules'!$B$10)),K86*'Rules'!$B$10,"")</x:f>
        <x:v>0</x:v>
      </x:c>
      <x:c r="M86" s="31" t="n">
        <x:f>'Rules'!$B$8+'Rules'!$B$9*('XP events'!J36-1)</x:f>
        <x:v>65</x:v>
      </x:c>
      <x:c r="N86" s="31" t="n">
        <x:f>IF(AND(ISNUMBER(H86),ISNUMBER(J86),ISNUMBER(L86),ISNUMBER(M86)),MIN(M86,H86-J86+L86),"")</x:f>
        <x:v>20</x:v>
      </x:c>
      <x:c r="O86" s="31" t="n">
        <x:v>20</x:v>
      </x:c>
      <x:c r="P86" s="31" t="n">
        <x:f>IF(AND(ISNUMBER(O86),ISNUMBER(N86)),N86-O86,"")</x:f>
        <x:v>0</x:v>
      </x:c>
      <x:c r="Q86" s="31" t="n">
        <x:f>IF(E86="cast",J86-INDEX('Rules'!$G$15:$G$23,MATCH(F86,'Rules'!$F$15:$F$23,0)),"")</x:f>
        <x:v>0</x:v>
      </x:c>
    </x:row>
    <x:row r="87" ht="22" customHeight="1">
      <x:c r="A87" s="17" t="str">
        <x:v>C10E09</x:v>
      </x:c>
      <x:c r="B87" s="51" t="n">
        <x:v>10</x:v>
      </x:c>
      <x:c r="C87" s="17" t="str">
        <x:v>Kip</x:v>
      </x:c>
      <x:c r="D87" s="17" t="str">
        <x:v>Day 2 13:00:00</x:v>
      </x:c>
      <x:c r="E87" s="17" t="str">
        <x:v>rest</x:v>
      </x:c>
      <x:c r="F87" s="17"/>
      <x:c r="G87" s="42" t="n">
        <x:v>20</x:v>
      </x:c>
      <x:c r="H87" s="42" t="n">
        <x:f>N86</x:f>
        <x:v>20</x:v>
      </x:c>
      <x:c r="I87" s="42" t="n">
        <x:f>IF(AND(ISNUMBER(G87),ISNUMBER(H87)),H87-G87,"")</x:f>
        <x:v>0</x:v>
      </x:c>
      <x:c r="J87" s="42" t="n">
        <x:v>0</x:v>
      </x:c>
      <x:c r="K87" s="42" t="n">
        <x:v>9</x:v>
      </x:c>
      <x:c r="L87" s="42" t="n">
        <x:f>IF(AND(ISNUMBER(K87),ISNUMBER('Rules'!$B$10)),K87*'Rules'!$B$10,"")</x:f>
        <x:v>45</x:v>
      </x:c>
      <x:c r="M87" s="42" t="n">
        <x:f>'Rules'!$B$8+'Rules'!$B$9*('XP events'!J36-1)</x:f>
        <x:v>65</x:v>
      </x:c>
      <x:c r="N87" s="42" t="n">
        <x:f>IF(AND(ISNUMBER(H87),ISNUMBER(J87),ISNUMBER(L87),ISNUMBER(M87)),MIN(M87,H87-J87+L87),"")</x:f>
        <x:v>65</x:v>
      </x:c>
      <x:c r="O87" s="42" t="n">
        <x:v>65</x:v>
      </x:c>
      <x:c r="P87" s="42" t="n">
        <x:f>IF(AND(ISNUMBER(O87),ISNUMBER(N87)),N87-O87,"")</x:f>
        <x:v>0</x:v>
      </x:c>
      <x:c r="Q87" s="42" t="str">
        <x:f>IF(E87="cast",J87-INDEX('Rules'!$G$15:$G$23,MATCH(F87,'Rules'!$F$15:$F$23,0)),"")</x:f>
      </x:c>
    </x:row>
    <x:row r="88" ht="22" customHeight="1">
      <x:c r="A88" s="2" t="str">
        <x:v>C10E10</x:v>
      </x:c>
      <x:c r="B88" s="50" t="n">
        <x:v>10</x:v>
      </x:c>
      <x:c r="C88" s="2" t="str">
        <x:v>Tessa</x:v>
      </x:c>
      <x:c r="D88" s="2" t="str">
        <x:v>Day 2 13:00:00</x:v>
      </x:c>
      <x:c r="E88" s="2" t="str">
        <x:v>rest</x:v>
      </x:c>
      <x:c r="F88" s="2"/>
      <x:c r="G88" s="31" t="n">
        <x:v>45</x:v>
      </x:c>
      <x:c r="H88" s="31" t="n">
        <x:f>N81</x:f>
        <x:v>45</x:v>
      </x:c>
      <x:c r="I88" s="31" t="n">
        <x:f>IF(AND(ISNUMBER(G88),ISNUMBER(H88)),H88-G88,"")</x:f>
        <x:v>0</x:v>
      </x:c>
      <x:c r="J88" s="31" t="n">
        <x:v>0</x:v>
      </x:c>
      <x:c r="K88" s="31" t="n">
        <x:v>6</x:v>
      </x:c>
      <x:c r="L88" s="31" t="n">
        <x:f>IF(AND(ISNUMBER(K88),ISNUMBER('Rules'!$B$10)),K88*'Rules'!$B$10,"")</x:f>
        <x:v>30</x:v>
      </x:c>
      <x:c r="M88" s="31" t="n">
        <x:f>'Rules'!$B$8+'Rules'!$B$9*('XP events'!J37-1)</x:f>
        <x:v>75</x:v>
      </x:c>
      <x:c r="N88" s="31" t="n">
        <x:f>IF(AND(ISNUMBER(H88),ISNUMBER(J88),ISNUMBER(L88),ISNUMBER(M88)),MIN(M88,H88-J88+L88),"")</x:f>
        <x:v>75</x:v>
      </x:c>
      <x:c r="O88" s="31" t="n">
        <x:v>75</x:v>
      </x:c>
      <x:c r="P88" s="31" t="n">
        <x:f>IF(AND(ISNUMBER(O88),ISNUMBER(N88)),N88-O88,"")</x:f>
        <x:v>0</x:v>
      </x:c>
      <x:c r="Q88" s="31" t="str">
        <x:f>IF(E88="cast",J88-INDEX('Rules'!$G$15:$G$23,MATCH(F88,'Rules'!$F$15:$F$23,0)),"")</x:f>
      </x:c>
    </x:row>
    <x:row r="89" ht="22" customHeight="1">
      <x:c r="A89" s="17" t="str">
        <x:v>C10E11</x:v>
      </x:c>
      <x:c r="B89" s="51" t="n">
        <x:v>10</x:v>
      </x:c>
      <x:c r="C89" s="17" t="str">
        <x:v>Owen</x:v>
      </x:c>
      <x:c r="D89" s="17" t="str">
        <x:v>Day 2 13:00:00</x:v>
      </x:c>
      <x:c r="E89" s="17" t="str">
        <x:v>rest</x:v>
      </x:c>
      <x:c r="F89" s="17"/>
      <x:c r="G89" s="42" t="n">
        <x:v>65</x:v>
      </x:c>
      <x:c r="H89" s="42" t="n">
        <x:f>N85</x:f>
        <x:v>65</x:v>
      </x:c>
      <x:c r="I89" s="42" t="n">
        <x:f>IF(AND(ISNUMBER(G89),ISNUMBER(H89)),H89-G89,"")</x:f>
        <x:v>0</x:v>
      </x:c>
      <x:c r="J89" s="42" t="n">
        <x:v>0</x:v>
      </x:c>
      <x:c r="K89" s="42" t="n">
        <x:v>4</x:v>
      </x:c>
      <x:c r="L89" s="42" t="n">
        <x:f>IF(AND(ISNUMBER(K89),ISNUMBER('Rules'!$B$10)),K89*'Rules'!$B$10,"")</x:f>
        <x:v>20</x:v>
      </x:c>
      <x:c r="M89" s="42" t="n">
        <x:f>'Rules'!$B$8+'Rules'!$B$9*('XP events'!J38-1)</x:f>
        <x:v>85</x:v>
      </x:c>
      <x:c r="N89" s="42" t="n">
        <x:f>IF(AND(ISNUMBER(H89),ISNUMBER(J89),ISNUMBER(L89),ISNUMBER(M89)),MIN(M89,H89-J89+L89),"")</x:f>
        <x:v>85</x:v>
      </x:c>
      <x:c r="O89" s="42" t="n">
        <x:v>85</x:v>
      </x:c>
      <x:c r="P89" s="42" t="n">
        <x:f>IF(AND(ISNUMBER(O89),ISNUMBER(N89)),N89-O89,"")</x:f>
        <x:v>0</x:v>
      </x:c>
      <x:c r="Q89" s="42" t="str">
        <x:f>IF(E89="cast",J89-INDEX('Rules'!$G$15:$G$23,MATCH(F89,'Rules'!$F$15:$F$23,0)),"")</x:f>
      </x:c>
    </x:row>
    <x:row r="90" ht="22" customHeight="1">
      <x:c r="A90" s="2" t="str">
        <x:v>C10E12</x:v>
      </x:c>
      <x:c r="B90" s="50" t="n">
        <x:v>10</x:v>
      </x:c>
      <x:c r="C90" s="2" t="str">
        <x:v>Dane</x:v>
      </x:c>
      <x:c r="D90" s="2" t="str">
        <x:v>Day 2 13:10:00</x:v>
      </x:c>
      <x:c r="E90" s="2" t="str">
        <x:v>rest</x:v>
      </x:c>
      <x:c r="F90" s="2"/>
      <x:c r="G90" s="31" t="n">
        <x:v>65</x:v>
      </x:c>
      <x:c r="H90" s="31" t="n">
        <x:f>N83</x:f>
        <x:v>65</x:v>
      </x:c>
      <x:c r="I90" s="31" t="n">
        <x:f>IF(AND(ISNUMBER(G90),ISNUMBER(H90)),H90-G90,"")</x:f>
        <x:v>0</x:v>
      </x:c>
      <x:c r="J90" s="31" t="n">
        <x:v>0</x:v>
      </x:c>
      <x:c r="K90" s="31" t="n">
        <x:v>4</x:v>
      </x:c>
      <x:c r="L90" s="31" t="n">
        <x:f>IF(AND(ISNUMBER(K90),ISNUMBER('Rules'!$B$10)),K90*'Rules'!$B$10,"")</x:f>
        <x:v>20</x:v>
      </x:c>
      <x:c r="M90" s="31" t="n">
        <x:f>'Rules'!$B$8+'Rules'!$B$9*('XP events'!J39-1)</x:f>
        <x:v>85</x:v>
      </x:c>
      <x:c r="N90" s="31" t="n">
        <x:f>IF(AND(ISNUMBER(H90),ISNUMBER(J90),ISNUMBER(L90),ISNUMBER(M90)),MIN(M90,H90-J90+L90),"")</x:f>
        <x:v>85</x:v>
      </x:c>
      <x:c r="O90" s="31" t="n">
        <x:v>85</x:v>
      </x:c>
      <x:c r="P90" s="31" t="n">
        <x:f>IF(AND(ISNUMBER(O90),ISNUMBER(N90)),N90-O90,"")</x:f>
        <x:v>0</x:v>
      </x:c>
      <x:c r="Q90" s="31" t="str">
        <x:f>IF(E90="cast",J90-INDEX('Rules'!$G$15:$G$23,MATCH(F90,'Rules'!$F$15:$F$23,0)),"")</x:f>
      </x:c>
    </x:row>
    <x:row r="91" ht="22" customHeight="1">
      <x:c r="A91" s="17" t="str">
        <x:v>C11E01</x:v>
      </x:c>
      <x:c r="B91" s="51" t="n">
        <x:v>11</x:v>
      </x:c>
      <x:c r="C91" s="17" t="str">
        <x:v>Dane</x:v>
      </x:c>
      <x:c r="D91" s="17" t="str">
        <x:v>Day 2 15:02:00</x:v>
      </x:c>
      <x:c r="E91" s="17" t="str">
        <x:v>cast</x:v>
      </x:c>
      <x:c r="F91" s="17" t="str">
        <x:v>Interpose</x:v>
      </x:c>
      <x:c r="G91" s="42" t="n">
        <x:v>85</x:v>
      </x:c>
      <x:c r="H91" s="42" t="n">
        <x:f>N90</x:f>
        <x:v>85</x:v>
      </x:c>
      <x:c r="I91" s="42" t="n">
        <x:f>IF(AND(ISNUMBER(G91),ISNUMBER(H91)),H91-G91,"")</x:f>
        <x:v>0</x:v>
      </x:c>
      <x:c r="J91" s="42" t="n">
        <x:v>15</x:v>
      </x:c>
      <x:c r="K91" s="42" t="n">
        <x:v>0</x:v>
      </x:c>
      <x:c r="L91" s="42" t="n">
        <x:f>IF(AND(ISNUMBER(K91),ISNUMBER('Rules'!$B$10)),K91*'Rules'!$B$10,"")</x:f>
        <x:v>0</x:v>
      </x:c>
      <x:c r="M91" s="42" t="n">
        <x:f>'Rules'!$B$8+'Rules'!$B$9*('XP events'!J39-1)</x:f>
        <x:v>85</x:v>
      </x:c>
      <x:c r="N91" s="42" t="n">
        <x:f>IF(AND(ISNUMBER(H91),ISNUMBER(J91),ISNUMBER(L91),ISNUMBER(M91)),MIN(M91,H91-J91+L91),"")</x:f>
        <x:v>70</x:v>
      </x:c>
      <x:c r="O91" s="42" t="n">
        <x:v>70</x:v>
      </x:c>
      <x:c r="P91" s="42" t="n">
        <x:f>IF(AND(ISNUMBER(O91),ISNUMBER(N91)),N91-O91,"")</x:f>
        <x:v>0</x:v>
      </x:c>
      <x:c r="Q91" s="42" t="n">
        <x:f>IF(E91="cast",J91-INDEX('Rules'!$G$15:$G$23,MATCH(F91,'Rules'!$F$15:$F$23,0)),"")</x:f>
        <x:v>0</x:v>
      </x:c>
    </x:row>
    <x:row r="92" ht="22" customHeight="1">
      <x:c r="A92" s="2" t="str">
        <x:v>C11E02</x:v>
      </x:c>
      <x:c r="B92" s="50" t="n">
        <x:v>11</x:v>
      </x:c>
      <x:c r="C92" s="2" t="str">
        <x:v>Kip</x:v>
      </x:c>
      <x:c r="D92" s="2" t="str">
        <x:v>Day 2 15:02:05</x:v>
      </x:c>
      <x:c r="E92" s="2" t="str">
        <x:v>cast</x:v>
      </x:c>
      <x:c r="F92" s="2" t="str">
        <x:v>Sovereign Ward</x:v>
      </x:c>
      <x:c r="G92" s="31" t="n">
        <x:v>65</x:v>
      </x:c>
      <x:c r="H92" s="31" t="n">
        <x:f>N87</x:f>
        <x:v>65</x:v>
      </x:c>
      <x:c r="I92" s="31" t="n">
        <x:f>IF(AND(ISNUMBER(G92),ISNUMBER(H92)),H92-G92,"")</x:f>
        <x:v>0</x:v>
      </x:c>
      <x:c r="J92" s="31" t="n">
        <x:v>15</x:v>
      </x:c>
      <x:c r="K92" s="31" t="n">
        <x:v>0</x:v>
      </x:c>
      <x:c r="L92" s="31" t="n">
        <x:f>IF(AND(ISNUMBER(K92),ISNUMBER('Rules'!$B$10)),K92*'Rules'!$B$10,"")</x:f>
        <x:v>0</x:v>
      </x:c>
      <x:c r="M92" s="31" t="n">
        <x:f>'Rules'!$B$8+'Rules'!$B$9*('XP events'!J36-1)</x:f>
        <x:v>65</x:v>
      </x:c>
      <x:c r="N92" s="31" t="n">
        <x:f>IF(AND(ISNUMBER(H92),ISNUMBER(J92),ISNUMBER(L92),ISNUMBER(M92)),MIN(M92,H92-J92+L92),"")</x:f>
        <x:v>50</x:v>
      </x:c>
      <x:c r="O92" s="31" t="n">
        <x:v>50</x:v>
      </x:c>
      <x:c r="P92" s="31" t="n">
        <x:f>IF(AND(ISNUMBER(O92),ISNUMBER(N92)),N92-O92,"")</x:f>
        <x:v>0</x:v>
      </x:c>
      <x:c r="Q92" s="31" t="n">
        <x:f>IF(E92="cast",J92-INDEX('Rules'!$G$15:$G$23,MATCH(F92,'Rules'!$F$15:$F$23,0)),"")</x:f>
        <x:v>0</x:v>
      </x:c>
    </x:row>
    <x:row r="93" ht="22" customHeight="1">
      <x:c r="A93" s="17" t="str">
        <x:v>C11E03</x:v>
      </x:c>
      <x:c r="B93" s="51" t="n">
        <x:v>11</x:v>
      </x:c>
      <x:c r="C93" s="17" t="str">
        <x:v>Tessa</x:v>
      </x:c>
      <x:c r="D93" s="17" t="str">
        <x:v>Day 2 15:02:08</x:v>
      </x:c>
      <x:c r="E93" s="17" t="str">
        <x:v>cast</x:v>
      </x:c>
      <x:c r="F93" s="17" t="str">
        <x:v>Quickstep</x:v>
      </x:c>
      <x:c r="G93" s="42" t="n">
        <x:v>75</x:v>
      </x:c>
      <x:c r="H93" s="42" t="n">
        <x:f>N88</x:f>
        <x:v>75</x:v>
      </x:c>
      <x:c r="I93" s="42" t="n">
        <x:f>IF(AND(ISNUMBER(G93),ISNUMBER(H93)),H93-G93,"")</x:f>
        <x:v>0</x:v>
      </x:c>
      <x:c r="J93" s="42" t="n">
        <x:v>10</x:v>
      </x:c>
      <x:c r="K93" s="42" t="n">
        <x:v>0</x:v>
      </x:c>
      <x:c r="L93" s="42" t="n">
        <x:f>IF(AND(ISNUMBER(K93),ISNUMBER('Rules'!$B$10)),K93*'Rules'!$B$10,"")</x:f>
        <x:v>0</x:v>
      </x:c>
      <x:c r="M93" s="42" t="n">
        <x:f>'Rules'!$B$8+'Rules'!$B$9*('XP events'!J37-1)</x:f>
        <x:v>75</x:v>
      </x:c>
      <x:c r="N93" s="42" t="n">
        <x:f>IF(AND(ISNUMBER(H93),ISNUMBER(J93),ISNUMBER(L93),ISNUMBER(M93)),MIN(M93,H93-J93+L93),"")</x:f>
        <x:v>65</x:v>
      </x:c>
      <x:c r="O93" s="42" t="n">
        <x:v>65</x:v>
      </x:c>
      <x:c r="P93" s="42" t="n">
        <x:f>IF(AND(ISNUMBER(O93),ISNUMBER(N93)),N93-O93,"")</x:f>
        <x:v>0</x:v>
      </x:c>
      <x:c r="Q93" s="42" t="n">
        <x:f>IF(E93="cast",J93-INDEX('Rules'!$G$15:$G$23,MATCH(F93,'Rules'!$F$15:$F$23,0)),"")</x:f>
        <x:v>0</x:v>
      </x:c>
    </x:row>
    <x:row r="94" ht="22" customHeight="1">
      <x:c r="A94" s="2" t="str">
        <x:v>C11E04</x:v>
      </x:c>
      <x:c r="B94" s="50" t="n">
        <x:v>11</x:v>
      </x:c>
      <x:c r="C94" s="2" t="str">
        <x:v>Tessa</x:v>
      </x:c>
      <x:c r="D94" s="2" t="str">
        <x:v>Day 2 15:03:00</x:v>
      </x:c>
      <x:c r="E94" s="2" t="str">
        <x:v>cast</x:v>
      </x:c>
      <x:c r="F94" s="2" t="str">
        <x:v>Trail Sight</x:v>
      </x:c>
      <x:c r="G94" s="31" t="n">
        <x:v>65</x:v>
      </x:c>
      <x:c r="H94" s="31" t="n">
        <x:f>N93</x:f>
        <x:v>65</x:v>
      </x:c>
      <x:c r="I94" s="31" t="n">
        <x:f>IF(AND(ISNUMBER(G94),ISNUMBER(H94)),H94-G94,"")</x:f>
        <x:v>0</x:v>
      </x:c>
      <x:c r="J94" s="31" t="n">
        <x:v>15</x:v>
      </x:c>
      <x:c r="K94" s="31" t="n">
        <x:v>0</x:v>
      </x:c>
      <x:c r="L94" s="31" t="n">
        <x:f>IF(AND(ISNUMBER(K94),ISNUMBER('Rules'!$B$10)),K94*'Rules'!$B$10,"")</x:f>
        <x:v>0</x:v>
      </x:c>
      <x:c r="M94" s="31" t="n">
        <x:f>'Rules'!$B$8+'Rules'!$B$9*('XP events'!J37-1)</x:f>
        <x:v>75</x:v>
      </x:c>
      <x:c r="N94" s="31" t="n">
        <x:f>IF(AND(ISNUMBER(H94),ISNUMBER(J94),ISNUMBER(L94),ISNUMBER(M94)),MIN(M94,H94-J94+L94),"")</x:f>
        <x:v>50</x:v>
      </x:c>
      <x:c r="O94" s="31" t="n">
        <x:v>50</x:v>
      </x:c>
      <x:c r="P94" s="31" t="n">
        <x:f>IF(AND(ISNUMBER(O94),ISNUMBER(N94)),N94-O94,"")</x:f>
        <x:v>0</x:v>
      </x:c>
      <x:c r="Q94" s="31" t="n">
        <x:f>IF(E94="cast",J94-INDEX('Rules'!$G$15:$G$23,MATCH(F94,'Rules'!$F$15:$F$23,0)),"")</x:f>
        <x:v>0</x:v>
      </x:c>
    </x:row>
    <x:row r="95" ht="22" customHeight="1">
      <x:c r="A95" s="17" t="str">
        <x:v>C11E05</x:v>
      </x:c>
      <x:c r="B95" s="51" t="n">
        <x:v>11</x:v>
      </x:c>
      <x:c r="C95" s="17" t="str">
        <x:v>Dane</x:v>
      </x:c>
      <x:c r="D95" s="17" t="str">
        <x:v>Day 2 15:03:05</x:v>
      </x:c>
      <x:c r="E95" s="17" t="str">
        <x:v>cast</x:v>
      </x:c>
      <x:c r="F95" s="17" t="str">
        <x:v>Bulwark</x:v>
      </x:c>
      <x:c r="G95" s="42" t="n">
        <x:v>70</x:v>
      </x:c>
      <x:c r="H95" s="42" t="n">
        <x:f>N91</x:f>
        <x:v>70</x:v>
      </x:c>
      <x:c r="I95" s="42" t="n">
        <x:f>IF(AND(ISNUMBER(G95),ISNUMBER(H95)),H95-G95,"")</x:f>
        <x:v>0</x:v>
      </x:c>
      <x:c r="J95" s="42" t="n">
        <x:v>20</x:v>
      </x:c>
      <x:c r="K95" s="42" t="n">
        <x:v>0</x:v>
      </x:c>
      <x:c r="L95" s="42" t="n">
        <x:f>IF(AND(ISNUMBER(K95),ISNUMBER('Rules'!$B$10)),K95*'Rules'!$B$10,"")</x:f>
        <x:v>0</x:v>
      </x:c>
      <x:c r="M95" s="42" t="n">
        <x:f>'Rules'!$B$8+'Rules'!$B$9*('XP events'!J39-1)</x:f>
        <x:v>85</x:v>
      </x:c>
      <x:c r="N95" s="42" t="n">
        <x:f>IF(AND(ISNUMBER(H95),ISNUMBER(J95),ISNUMBER(L95),ISNUMBER(M95)),MIN(M95,H95-J95+L95),"")</x:f>
        <x:v>50</x:v>
      </x:c>
      <x:c r="O95" s="42" t="n">
        <x:v>50</x:v>
      </x:c>
      <x:c r="P95" s="42" t="n">
        <x:f>IF(AND(ISNUMBER(O95),ISNUMBER(N95)),N95-O95,"")</x:f>
        <x:v>0</x:v>
      </x:c>
      <x:c r="Q95" s="42" t="n">
        <x:f>IF(E95="cast",J95-INDEX('Rules'!$G$15:$G$23,MATCH(F95,'Rules'!$F$15:$F$23,0)),"")</x:f>
        <x:v>0</x:v>
      </x:c>
    </x:row>
    <x:row r="96" ht="22" customHeight="1">
      <x:c r="A96" s="2" t="str">
        <x:v>C11E07</x:v>
      </x:c>
      <x:c r="B96" s="50" t="n">
        <x:v>11</x:v>
      </x:c>
      <x:c r="C96" s="2" t="str">
        <x:v>Kip</x:v>
      </x:c>
      <x:c r="D96" s="2" t="str">
        <x:v>Day 2 15:15:00</x:v>
      </x:c>
      <x:c r="E96" s="2" t="str">
        <x:v>cast</x:v>
      </x:c>
      <x:c r="F96" s="2" t="str">
        <x:v>Claim Room</x:v>
      </x:c>
      <x:c r="G96" s="31" t="n">
        <x:v>50</x:v>
      </x:c>
      <x:c r="H96" s="31" t="n">
        <x:f>N92</x:f>
        <x:v>50</x:v>
      </x:c>
      <x:c r="I96" s="31" t="n">
        <x:f>IF(AND(ISNUMBER(G96),ISNUMBER(H96)),H96-G96,"")</x:f>
        <x:v>0</x:v>
      </x:c>
      <x:c r="J96" s="31" t="n">
        <x:v>20</x:v>
      </x:c>
      <x:c r="K96" s="31" t="n">
        <x:v>0</x:v>
      </x:c>
      <x:c r="L96" s="31" t="n">
        <x:f>IF(AND(ISNUMBER(K96),ISNUMBER('Rules'!$B$10)),K96*'Rules'!$B$10,"")</x:f>
        <x:v>0</x:v>
      </x:c>
      <x:c r="M96" s="31" t="n">
        <x:f>'Rules'!$B$8+'Rules'!$B$9*('XP events'!J40-1)</x:f>
        <x:v>70</x:v>
      </x:c>
      <x:c r="N96" s="31" t="n">
        <x:f>IF(AND(ISNUMBER(H96),ISNUMBER(J96),ISNUMBER(L96),ISNUMBER(M96)),MIN(M96,H96-J96+L96),"")</x:f>
        <x:v>30</x:v>
      </x:c>
      <x:c r="O96" s="31" t="n">
        <x:v>30</x:v>
      </x:c>
      <x:c r="P96" s="31" t="n">
        <x:f>IF(AND(ISNUMBER(O96),ISNUMBER(N96)),N96-O96,"")</x:f>
        <x:v>0</x:v>
      </x:c>
      <x:c r="Q96" s="31" t="n">
        <x:f>IF(E96="cast",J96-INDEX('Rules'!$G$15:$G$23,MATCH(F96,'Rules'!$F$15:$F$23,0)),"")</x:f>
        <x:v>0</x:v>
      </x:c>
    </x:row>
    <x:row r="97" ht="22" customHeight="1">
      <x:c r="A97" s="17" t="str">
        <x:v>C11E08</x:v>
      </x:c>
      <x:c r="B97" s="51" t="n">
        <x:v>11</x:v>
      </x:c>
      <x:c r="C97" s="17" t="str">
        <x:v>Kip</x:v>
      </x:c>
      <x:c r="D97" s="17" t="str">
        <x:v>Day 2 15:30:00</x:v>
      </x:c>
      <x:c r="E97" s="17" t="str">
        <x:v>rest</x:v>
      </x:c>
      <x:c r="F97" s="17"/>
      <x:c r="G97" s="42" t="n">
        <x:v>30</x:v>
      </x:c>
      <x:c r="H97" s="42" t="n">
        <x:f>N96</x:f>
        <x:v>30</x:v>
      </x:c>
      <x:c r="I97" s="42" t="n">
        <x:f>IF(AND(ISNUMBER(G97),ISNUMBER(H97)),H97-G97,"")</x:f>
        <x:v>0</x:v>
      </x:c>
      <x:c r="J97" s="42" t="n">
        <x:v>0</x:v>
      </x:c>
      <x:c r="K97" s="42" t="n">
        <x:v>8</x:v>
      </x:c>
      <x:c r="L97" s="42" t="n">
        <x:f>IF(AND(ISNUMBER(K97),ISNUMBER('Rules'!$B$10)),K97*'Rules'!$B$10,"")</x:f>
        <x:v>40</x:v>
      </x:c>
      <x:c r="M97" s="42" t="n">
        <x:f>'Rules'!$B$8+'Rules'!$B$9*('XP events'!J40-1)</x:f>
        <x:v>70</x:v>
      </x:c>
      <x:c r="N97" s="42" t="n">
        <x:f>IF(AND(ISNUMBER(H97),ISNUMBER(J97),ISNUMBER(L97),ISNUMBER(M97)),MIN(M97,H97-J97+L97),"")</x:f>
        <x:v>70</x:v>
      </x:c>
      <x:c r="O97" s="42" t="n">
        <x:v>70</x:v>
      </x:c>
      <x:c r="P97" s="42" t="n">
        <x:f>IF(AND(ISNUMBER(O97),ISNUMBER(N97)),N97-O97,"")</x:f>
        <x:v>0</x:v>
      </x:c>
      <x:c r="Q97" s="42" t="str">
        <x:f>IF(E97="cast",J97-INDEX('Rules'!$G$15:$G$23,MATCH(F97,'Rules'!$F$15:$F$23,0)),"")</x:f>
      </x:c>
    </x:row>
    <x:row r="98" ht="22" customHeight="1">
      <x:c r="A98" s="2" t="str">
        <x:v>C11E09</x:v>
      </x:c>
      <x:c r="B98" s="50" t="n">
        <x:v>11</x:v>
      </x:c>
      <x:c r="C98" s="2" t="str">
        <x:v>Tessa</x:v>
      </x:c>
      <x:c r="D98" s="2" t="str">
        <x:v>Day 2 15:30:00</x:v>
      </x:c>
      <x:c r="E98" s="2" t="str">
        <x:v>rest</x:v>
      </x:c>
      <x:c r="F98" s="2"/>
      <x:c r="G98" s="31" t="n">
        <x:v>50</x:v>
      </x:c>
      <x:c r="H98" s="31" t="n">
        <x:f>N94</x:f>
        <x:v>50</x:v>
      </x:c>
      <x:c r="I98" s="31" t="n">
        <x:f>IF(AND(ISNUMBER(G98),ISNUMBER(H98)),H98-G98,"")</x:f>
        <x:v>0</x:v>
      </x:c>
      <x:c r="J98" s="31" t="n">
        <x:v>0</x:v>
      </x:c>
      <x:c r="K98" s="31" t="n">
        <x:v>5</x:v>
      </x:c>
      <x:c r="L98" s="31" t="n">
        <x:f>IF(AND(ISNUMBER(K98),ISNUMBER('Rules'!$B$10)),K98*'Rules'!$B$10,"")</x:f>
        <x:v>25</x:v>
      </x:c>
      <x:c r="M98" s="31" t="n">
        <x:f>'Rules'!$B$8+'Rules'!$B$9*('XP events'!J41-1)</x:f>
        <x:v>75</x:v>
      </x:c>
      <x:c r="N98" s="31" t="n">
        <x:f>IF(AND(ISNUMBER(H98),ISNUMBER(J98),ISNUMBER(L98),ISNUMBER(M98)),MIN(M98,H98-J98+L98),"")</x:f>
        <x:v>75</x:v>
      </x:c>
      <x:c r="O98" s="31" t="n">
        <x:v>75</x:v>
      </x:c>
      <x:c r="P98" s="31" t="n">
        <x:f>IF(AND(ISNUMBER(O98),ISNUMBER(N98)),N98-O98,"")</x:f>
        <x:v>0</x:v>
      </x:c>
      <x:c r="Q98" s="31" t="str">
        <x:f>IF(E98="cast",J98-INDEX('Rules'!$G$15:$G$23,MATCH(F98,'Rules'!$F$15:$F$23,0)),"")</x:f>
      </x:c>
    </x:row>
    <x:row r="99" ht="22" customHeight="1">
      <x:c r="A99" s="17" t="str">
        <x:v>C11E10</x:v>
      </x:c>
      <x:c r="B99" s="51" t="n">
        <x:v>11</x:v>
      </x:c>
      <x:c r="C99" s="17" t="str">
        <x:v>Owen</x:v>
      </x:c>
      <x:c r="D99" s="17" t="str">
        <x:v>Day 2 15:30:00</x:v>
      </x:c>
      <x:c r="E99" s="17" t="str">
        <x:v>rest</x:v>
      </x:c>
      <x:c r="F99" s="17"/>
      <x:c r="G99" s="42" t="n">
        <x:v>85</x:v>
      </x:c>
      <x:c r="H99" s="42" t="n">
        <x:f>N89</x:f>
        <x:v>85</x:v>
      </x:c>
      <x:c r="I99" s="42" t="n">
        <x:f>IF(AND(ISNUMBER(G99),ISNUMBER(H99)),H99-G99,"")</x:f>
        <x:v>0</x:v>
      </x:c>
      <x:c r="J99" s="42" t="n">
        <x:v>0</x:v>
      </x:c>
      <x:c r="K99" s="42" t="n">
        <x:v>1</x:v>
      </x:c>
      <x:c r="L99" s="42" t="n">
        <x:f>IF(AND(ISNUMBER(K99),ISNUMBER('Rules'!$B$10)),K99*'Rules'!$B$10,"")</x:f>
        <x:v>5</x:v>
      </x:c>
      <x:c r="M99" s="42" t="n">
        <x:f>'Rules'!$B$8+'Rules'!$B$9*('XP events'!J42-1)</x:f>
        <x:v>90</x:v>
      </x:c>
      <x:c r="N99" s="42" t="n">
        <x:f>IF(AND(ISNUMBER(H99),ISNUMBER(J99),ISNUMBER(L99),ISNUMBER(M99)),MIN(M99,H99-J99+L99),"")</x:f>
        <x:v>90</x:v>
      </x:c>
      <x:c r="O99" s="42" t="n">
        <x:v>90</x:v>
      </x:c>
      <x:c r="P99" s="42" t="n">
        <x:f>IF(AND(ISNUMBER(O99),ISNUMBER(N99)),N99-O99,"")</x:f>
        <x:v>0</x:v>
      </x:c>
      <x:c r="Q99" s="42" t="str">
        <x:f>IF(E99="cast",J99-INDEX('Rules'!$G$15:$G$23,MATCH(F99,'Rules'!$F$15:$F$23,0)),"")</x:f>
      </x:c>
    </x:row>
    <x:row r="100" ht="22" customHeight="1">
      <x:c r="A100" s="2" t="str">
        <x:v>C11E11</x:v>
      </x:c>
      <x:c r="B100" s="50" t="n">
        <x:v>11</x:v>
      </x:c>
      <x:c r="C100" s="2" t="str">
        <x:v>Dane</x:v>
      </x:c>
      <x:c r="D100" s="2" t="str">
        <x:v>Day 2 15:30:00</x:v>
      </x:c>
      <x:c r="E100" s="2" t="str">
        <x:v>rest</x:v>
      </x:c>
      <x:c r="F100" s="2"/>
      <x:c r="G100" s="31" t="n">
        <x:v>50</x:v>
      </x:c>
      <x:c r="H100" s="31" t="n">
        <x:f>N95</x:f>
        <x:v>50</x:v>
      </x:c>
      <x:c r="I100" s="31" t="n">
        <x:f>IF(AND(ISNUMBER(G100),ISNUMBER(H100)),H100-G100,"")</x:f>
        <x:v>0</x:v>
      </x:c>
      <x:c r="J100" s="31" t="n">
        <x:v>0</x:v>
      </x:c>
      <x:c r="K100" s="31" t="n">
        <x:v>8</x:v>
      </x:c>
      <x:c r="L100" s="31" t="n">
        <x:f>IF(AND(ISNUMBER(K100),ISNUMBER('Rules'!$B$10)),K100*'Rules'!$B$10,"")</x:f>
        <x:v>40</x:v>
      </x:c>
      <x:c r="M100" s="31" t="n">
        <x:f>'Rules'!$B$8+'Rules'!$B$9*('XP events'!J43-1)</x:f>
        <x:v>90</x:v>
      </x:c>
      <x:c r="N100" s="31" t="n">
        <x:f>IF(AND(ISNUMBER(H100),ISNUMBER(J100),ISNUMBER(L100),ISNUMBER(M100)),MIN(M100,H100-J100+L100),"")</x:f>
        <x:v>90</x:v>
      </x:c>
      <x:c r="O100" s="31" t="n">
        <x:v>90</x:v>
      </x:c>
      <x:c r="P100" s="31" t="n">
        <x:f>IF(AND(ISNUMBER(O100),ISNUMBER(N100)),N100-O100,"")</x:f>
        <x:v>0</x:v>
      </x:c>
      <x:c r="Q100" s="31" t="str">
        <x:f>IF(E100="cast",J100-INDEX('Rules'!$G$15:$G$23,MATCH(F100,'Rules'!$F$15:$F$23,0)),"")</x:f>
      </x:c>
    </x:row>
    <x:row r="101" ht="22" customHeight="1">
      <x:c r="A101" s="17" t="str">
        <x:v>C12E01</x:v>
      </x:c>
      <x:c r="B101" s="51" t="n">
        <x:v>12</x:v>
      </x:c>
      <x:c r="C101" s="17" t="str">
        <x:v>Tessa</x:v>
      </x:c>
      <x:c r="D101" s="17" t="str">
        <x:v>Day 2 16:20:00</x:v>
      </x:c>
      <x:c r="E101" s="17" t="str">
        <x:v>cast</x:v>
      </x:c>
      <x:c r="F101" s="17" t="str">
        <x:v>Trail Sight</x:v>
      </x:c>
      <x:c r="G101" s="42" t="n">
        <x:v>75</x:v>
      </x:c>
      <x:c r="H101" s="42" t="n">
        <x:f>N98</x:f>
        <x:v>75</x:v>
      </x:c>
      <x:c r="I101" s="42" t="n">
        <x:f>IF(AND(ISNUMBER(G101),ISNUMBER(H101)),H101-G101,"")</x:f>
        <x:v>0</x:v>
      </x:c>
      <x:c r="J101" s="42" t="n">
        <x:v>15</x:v>
      </x:c>
      <x:c r="K101" s="42" t="n">
        <x:v>0</x:v>
      </x:c>
      <x:c r="L101" s="42" t="n">
        <x:f>IF(AND(ISNUMBER(K101),ISNUMBER('Rules'!$B$10)),K101*'Rules'!$B$10,"")</x:f>
        <x:v>0</x:v>
      </x:c>
      <x:c r="M101" s="42" t="n">
        <x:f>'Rules'!$B$8+'Rules'!$B$9*('XP events'!J41-1)</x:f>
        <x:v>75</x:v>
      </x:c>
      <x:c r="N101" s="42" t="n">
        <x:f>IF(AND(ISNUMBER(H101),ISNUMBER(J101),ISNUMBER(L101),ISNUMBER(M101)),MIN(M101,H101-J101+L101),"")</x:f>
        <x:v>60</x:v>
      </x:c>
      <x:c r="O101" s="42" t="n">
        <x:v>60</x:v>
      </x:c>
      <x:c r="P101" s="42" t="n">
        <x:f>IF(AND(ISNUMBER(O101),ISNUMBER(N101)),N101-O101,"")</x:f>
        <x:v>0</x:v>
      </x:c>
      <x:c r="Q101" s="42" t="n">
        <x:f>IF(E101="cast",J101-INDEX('Rules'!$G$15:$G$23,MATCH(F101,'Rules'!$F$15:$F$23,0)),"")</x:f>
        <x:v>0</x:v>
      </x:c>
    </x:row>
    <x:row r="102" ht="22" customHeight="1">
      <x:c r="A102" s="2" t="str">
        <x:v>C12E02</x:v>
      </x:c>
      <x:c r="B102" s="50" t="n">
        <x:v>12</x:v>
      </x:c>
      <x:c r="C102" s="2" t="str">
        <x:v>Tessa</x:v>
      </x:c>
      <x:c r="D102" s="2" t="str">
        <x:v>Day 2 16:25:00</x:v>
      </x:c>
      <x:c r="E102" s="2" t="str">
        <x:v>cast</x:v>
      </x:c>
      <x:c r="F102" s="2" t="str">
        <x:v>Quickstep</x:v>
      </x:c>
      <x:c r="G102" s="31" t="n">
        <x:v>60</x:v>
      </x:c>
      <x:c r="H102" s="31" t="n">
        <x:f>N101</x:f>
        <x:v>60</x:v>
      </x:c>
      <x:c r="I102" s="31" t="n">
        <x:f>IF(AND(ISNUMBER(G102),ISNUMBER(H102)),H102-G102,"")</x:f>
        <x:v>0</x:v>
      </x:c>
      <x:c r="J102" s="31" t="n">
        <x:v>10</x:v>
      </x:c>
      <x:c r="K102" s="31" t="n">
        <x:v>0</x:v>
      </x:c>
      <x:c r="L102" s="31" t="n">
        <x:f>IF(AND(ISNUMBER(K102),ISNUMBER('Rules'!$B$10)),K102*'Rules'!$B$10,"")</x:f>
        <x:v>0</x:v>
      </x:c>
      <x:c r="M102" s="31" t="n">
        <x:f>'Rules'!$B$8+'Rules'!$B$9*('XP events'!J41-1)</x:f>
        <x:v>75</x:v>
      </x:c>
      <x:c r="N102" s="31" t="n">
        <x:f>IF(AND(ISNUMBER(H102),ISNUMBER(J102),ISNUMBER(L102),ISNUMBER(M102)),MIN(M102,H102-J102+L102),"")</x:f>
        <x:v>50</x:v>
      </x:c>
      <x:c r="O102" s="31" t="n">
        <x:v>50</x:v>
      </x:c>
      <x:c r="P102" s="31" t="n">
        <x:f>IF(AND(ISNUMBER(O102),ISNUMBER(N102)),N102-O102,"")</x:f>
        <x:v>0</x:v>
      </x:c>
      <x:c r="Q102" s="31" t="n">
        <x:f>IF(E102="cast",J102-INDEX('Rules'!$G$15:$G$23,MATCH(F102,'Rules'!$F$15:$F$23,0)),"")</x:f>
        <x:v>0</x:v>
      </x:c>
    </x:row>
    <x:row r="103" ht="22" customHeight="1">
      <x:c r="A103" s="17" t="str">
        <x:v>C12E03</x:v>
      </x:c>
      <x:c r="B103" s="51" t="n">
        <x:v>12</x:v>
      </x:c>
      <x:c r="C103" s="17" t="str">
        <x:v>Kip</x:v>
      </x:c>
      <x:c r="D103" s="17" t="str">
        <x:v>Day 2 16:25:03</x:v>
      </x:c>
      <x:c r="E103" s="17" t="str">
        <x:v>cast</x:v>
      </x:c>
      <x:c r="F103" s="17" t="str">
        <x:v>Override</x:v>
      </x:c>
      <x:c r="G103" s="42" t="n">
        <x:v>70</x:v>
      </x:c>
      <x:c r="H103" s="42" t="n">
        <x:f>N97</x:f>
        <x:v>70</x:v>
      </x:c>
      <x:c r="I103" s="42" t="n">
        <x:f>IF(AND(ISNUMBER(G103),ISNUMBER(H103)),H103-G103,"")</x:f>
        <x:v>0</x:v>
      </x:c>
      <x:c r="J103" s="42" t="n">
        <x:v>10</x:v>
      </x:c>
      <x:c r="K103" s="42" t="n">
        <x:v>0</x:v>
      </x:c>
      <x:c r="L103" s="42" t="n">
        <x:f>IF(AND(ISNUMBER(K103),ISNUMBER('Rules'!$B$10)),K103*'Rules'!$B$10,"")</x:f>
        <x:v>0</x:v>
      </x:c>
      <x:c r="M103" s="42" t="n">
        <x:f>'Rules'!$B$8+'Rules'!$B$9*('XP events'!J40-1)</x:f>
        <x:v>70</x:v>
      </x:c>
      <x:c r="N103" s="42" t="n">
        <x:f>IF(AND(ISNUMBER(H103),ISNUMBER(J103),ISNUMBER(L103),ISNUMBER(M103)),MIN(M103,H103-J103+L103),"")</x:f>
        <x:v>60</x:v>
      </x:c>
      <x:c r="O103" s="42" t="n">
        <x:v>60</x:v>
      </x:c>
      <x:c r="P103" s="42" t="n">
        <x:f>IF(AND(ISNUMBER(O103),ISNUMBER(N103)),N103-O103,"")</x:f>
        <x:v>0</x:v>
      </x:c>
      <x:c r="Q103" s="42" t="n">
        <x:f>IF(E103="cast",J103-INDEX('Rules'!$G$15:$G$23,MATCH(F103,'Rules'!$F$15:$F$23,0)),"")</x:f>
        <x:v>0</x:v>
      </x:c>
    </x:row>
    <x:row r="104" ht="22" customHeight="1">
      <x:c r="A104" s="2" t="str">
        <x:v>C12E04</x:v>
      </x:c>
      <x:c r="B104" s="50" t="n">
        <x:v>12</x:v>
      </x:c>
      <x:c r="C104" s="2" t="str">
        <x:v>Dane</x:v>
      </x:c>
      <x:c r="D104" s="2" t="str">
        <x:v>Day 2 16:25:05</x:v>
      </x:c>
      <x:c r="E104" s="2" t="str">
        <x:v>cast</x:v>
      </x:c>
      <x:c r="F104" s="2" t="str">
        <x:v>Interpose</x:v>
      </x:c>
      <x:c r="G104" s="31" t="n">
        <x:v>90</x:v>
      </x:c>
      <x:c r="H104" s="31" t="n">
        <x:f>N100</x:f>
        <x:v>90</x:v>
      </x:c>
      <x:c r="I104" s="31" t="n">
        <x:f>IF(AND(ISNUMBER(G104),ISNUMBER(H104)),H104-G104,"")</x:f>
        <x:v>0</x:v>
      </x:c>
      <x:c r="J104" s="31" t="n">
        <x:v>15</x:v>
      </x:c>
      <x:c r="K104" s="31" t="n">
        <x:v>0</x:v>
      </x:c>
      <x:c r="L104" s="31" t="n">
        <x:f>IF(AND(ISNUMBER(K104),ISNUMBER('Rules'!$B$10)),K104*'Rules'!$B$10,"")</x:f>
        <x:v>0</x:v>
      </x:c>
      <x:c r="M104" s="31" t="n">
        <x:f>'Rules'!$B$8+'Rules'!$B$9*('XP events'!J43-1)</x:f>
        <x:v>90</x:v>
      </x:c>
      <x:c r="N104" s="31" t="n">
        <x:f>IF(AND(ISNUMBER(H104),ISNUMBER(J104),ISNUMBER(L104),ISNUMBER(M104)),MIN(M104,H104-J104+L104),"")</x:f>
        <x:v>75</x:v>
      </x:c>
      <x:c r="O104" s="31" t="n">
        <x:v>75</x:v>
      </x:c>
      <x:c r="P104" s="31" t="n">
        <x:f>IF(AND(ISNUMBER(O104),ISNUMBER(N104)),N104-O104,"")</x:f>
        <x:v>0</x:v>
      </x:c>
      <x:c r="Q104" s="31" t="n">
        <x:f>IF(E104="cast",J104-INDEX('Rules'!$G$15:$G$23,MATCH(F104,'Rules'!$F$15:$F$23,0)),"")</x:f>
        <x:v>0</x:v>
      </x:c>
    </x:row>
    <x:row r="105" ht="22" customHeight="1">
      <x:c r="A105" s="17" t="str">
        <x:v>C12E05</x:v>
      </x:c>
      <x:c r="B105" s="51" t="n">
        <x:v>12</x:v>
      </x:c>
      <x:c r="C105" s="17" t="str">
        <x:v>Kip</x:v>
      </x:c>
      <x:c r="D105" s="17" t="str">
        <x:v>Day 2 16:25:10</x:v>
      </x:c>
      <x:c r="E105" s="17" t="str">
        <x:v>cast</x:v>
      </x:c>
      <x:c r="F105" s="17" t="str">
        <x:v>Sovereign Ward</x:v>
      </x:c>
      <x:c r="G105" s="42" t="n">
        <x:v>60</x:v>
      </x:c>
      <x:c r="H105" s="42" t="n">
        <x:f>N103</x:f>
        <x:v>60</x:v>
      </x:c>
      <x:c r="I105" s="42" t="n">
        <x:f>IF(AND(ISNUMBER(G105),ISNUMBER(H105)),H105-G105,"")</x:f>
        <x:v>0</x:v>
      </x:c>
      <x:c r="J105" s="42" t="n">
        <x:v>15</x:v>
      </x:c>
      <x:c r="K105" s="42" t="n">
        <x:v>0</x:v>
      </x:c>
      <x:c r="L105" s="42" t="n">
        <x:f>IF(AND(ISNUMBER(K105),ISNUMBER('Rules'!$B$10)),K105*'Rules'!$B$10,"")</x:f>
        <x:v>0</x:v>
      </x:c>
      <x:c r="M105" s="42" t="n">
        <x:f>'Rules'!$B$8+'Rules'!$B$9*('XP events'!J40-1)</x:f>
        <x:v>70</x:v>
      </x:c>
      <x:c r="N105" s="42" t="n">
        <x:f>IF(AND(ISNUMBER(H105),ISNUMBER(J105),ISNUMBER(L105),ISNUMBER(M105)),MIN(M105,H105-J105+L105),"")</x:f>
        <x:v>45</x:v>
      </x:c>
      <x:c r="O105" s="42" t="n">
        <x:v>45</x:v>
      </x:c>
      <x:c r="P105" s="42" t="n">
        <x:f>IF(AND(ISNUMBER(O105),ISNUMBER(N105)),N105-O105,"")</x:f>
        <x:v>0</x:v>
      </x:c>
      <x:c r="Q105" s="42" t="n">
        <x:f>IF(E105="cast",J105-INDEX('Rules'!$G$15:$G$23,MATCH(F105,'Rules'!$F$15:$F$23,0)),"")</x:f>
        <x:v>0</x:v>
      </x:c>
    </x:row>
    <x:row r="106" ht="22" customHeight="1">
      <x:c r="A106" s="2" t="str">
        <x:v>C12E06</x:v>
      </x:c>
      <x:c r="B106" s="50" t="n">
        <x:v>12</x:v>
      </x:c>
      <x:c r="C106" s="2" t="str">
        <x:v>Dane</x:v>
      </x:c>
      <x:c r="D106" s="2" t="str">
        <x:v>Day 2 16:26:00</x:v>
      </x:c>
      <x:c r="E106" s="2" t="str">
        <x:v>cast</x:v>
      </x:c>
      <x:c r="F106" s="2" t="str">
        <x:v>Bulwark</x:v>
      </x:c>
      <x:c r="G106" s="31" t="n">
        <x:v>75</x:v>
      </x:c>
      <x:c r="H106" s="31" t="n">
        <x:f>N104</x:f>
        <x:v>75</x:v>
      </x:c>
      <x:c r="I106" s="31" t="n">
        <x:f>IF(AND(ISNUMBER(G106),ISNUMBER(H106)),H106-G106,"")</x:f>
        <x:v>0</x:v>
      </x:c>
      <x:c r="J106" s="31" t="n">
        <x:v>20</x:v>
      </x:c>
      <x:c r="K106" s="31" t="n">
        <x:v>0</x:v>
      </x:c>
      <x:c r="L106" s="31" t="n">
        <x:f>IF(AND(ISNUMBER(K106),ISNUMBER('Rules'!$B$10)),K106*'Rules'!$B$10,"")</x:f>
        <x:v>0</x:v>
      </x:c>
      <x:c r="M106" s="31" t="n">
        <x:f>'Rules'!$B$8+'Rules'!$B$9*('XP events'!J43-1)</x:f>
        <x:v>90</x:v>
      </x:c>
      <x:c r="N106" s="31" t="n">
        <x:f>IF(AND(ISNUMBER(H106),ISNUMBER(J106),ISNUMBER(L106),ISNUMBER(M106)),MIN(M106,H106-J106+L106),"")</x:f>
        <x:v>55</x:v>
      </x:c>
      <x:c r="O106" s="31" t="n">
        <x:v>55</x:v>
      </x:c>
      <x:c r="P106" s="31" t="n">
        <x:f>IF(AND(ISNUMBER(O106),ISNUMBER(N106)),N106-O106,"")</x:f>
        <x:v>0</x:v>
      </x:c>
      <x:c r="Q106" s="31" t="n">
        <x:f>IF(E106="cast",J106-INDEX('Rules'!$G$15:$G$23,MATCH(F106,'Rules'!$F$15:$F$23,0)),"")</x:f>
        <x:v>0</x:v>
      </x:c>
    </x:row>
    <x:row r="107" ht="22" customHeight="1">
      <x:c r="A107" s="17" t="str">
        <x:v>C12E07</x:v>
      </x:c>
      <x:c r="B107" s="51" t="n">
        <x:v>12</x:v>
      </x:c>
      <x:c r="C107" s="17" t="str">
        <x:v>Kip</x:v>
      </x:c>
      <x:c r="D107" s="17" t="str">
        <x:v>Day 2 16:26:05</x:v>
      </x:c>
      <x:c r="E107" s="17" t="str">
        <x:v>cast</x:v>
      </x:c>
      <x:c r="F107" s="17" t="str">
        <x:v>Override</x:v>
      </x:c>
      <x:c r="G107" s="42" t="n">
        <x:v>45</x:v>
      </x:c>
      <x:c r="H107" s="42" t="n">
        <x:f>N105</x:f>
        <x:v>45</x:v>
      </x:c>
      <x:c r="I107" s="42" t="n">
        <x:f>IF(AND(ISNUMBER(G107),ISNUMBER(H107)),H107-G107,"")</x:f>
        <x:v>0</x:v>
      </x:c>
      <x:c r="J107" s="42" t="n">
        <x:v>10</x:v>
      </x:c>
      <x:c r="K107" s="42" t="n">
        <x:v>0</x:v>
      </x:c>
      <x:c r="L107" s="42" t="n">
        <x:f>IF(AND(ISNUMBER(K107),ISNUMBER('Rules'!$B$10)),K107*'Rules'!$B$10,"")</x:f>
        <x:v>0</x:v>
      </x:c>
      <x:c r="M107" s="42" t="n">
        <x:f>'Rules'!$B$8+'Rules'!$B$9*('XP events'!J40-1)</x:f>
        <x:v>70</x:v>
      </x:c>
      <x:c r="N107" s="42" t="n">
        <x:f>IF(AND(ISNUMBER(H107),ISNUMBER(J107),ISNUMBER(L107),ISNUMBER(M107)),MIN(M107,H107-J107+L107),"")</x:f>
        <x:v>35</x:v>
      </x:c>
      <x:c r="O107" s="42" t="n">
        <x:v>35</x:v>
      </x:c>
      <x:c r="P107" s="42" t="n">
        <x:f>IF(AND(ISNUMBER(O107),ISNUMBER(N107)),N107-O107,"")</x:f>
        <x:v>0</x:v>
      </x:c>
      <x:c r="Q107" s="42" t="n">
        <x:f>IF(E107="cast",J107-INDEX('Rules'!$G$15:$G$23,MATCH(F107,'Rules'!$F$15:$F$23,0)),"")</x:f>
        <x:v>0</x:v>
      </x:c>
    </x:row>
    <x:row r="108" ht="22" customHeight="1">
      <x:c r="A108" s="2" t="str">
        <x:v>C13E01</x:v>
      </x:c>
      <x:c r="B108" s="50" t="n">
        <x:v>13</x:v>
      </x:c>
      <x:c r="C108" s="2" t="str">
        <x:v>Kip</x:v>
      </x:c>
      <x:c r="D108" s="2" t="str">
        <x:v>Day 2 19:00:00</x:v>
      </x:c>
      <x:c r="E108" s="2" t="str">
        <x:v>rest</x:v>
      </x:c>
      <x:c r="F108" s="2"/>
      <x:c r="G108" s="31" t="n">
        <x:v>35</x:v>
      </x:c>
      <x:c r="H108" s="31" t="n">
        <x:f>N107</x:f>
        <x:v>35</x:v>
      </x:c>
      <x:c r="I108" s="31" t="n">
        <x:f>IF(AND(ISNUMBER(G108),ISNUMBER(H108)),H108-G108,"")</x:f>
        <x:v>0</x:v>
      </x:c>
      <x:c r="J108" s="31" t="n">
        <x:v>0</x:v>
      </x:c>
      <x:c r="K108" s="31" t="n">
        <x:v>7</x:v>
      </x:c>
      <x:c r="L108" s="31" t="n">
        <x:f>IF(AND(ISNUMBER(K108),ISNUMBER('Rules'!$B$10)),K108*'Rules'!$B$10,"")</x:f>
        <x:v>35</x:v>
      </x:c>
      <x:c r="M108" s="31" t="n">
        <x:f>'Rules'!$B$8+'Rules'!$B$9*('XP events'!J44-1)</x:f>
        <x:v>70</x:v>
      </x:c>
      <x:c r="N108" s="31" t="n">
        <x:f>IF(AND(ISNUMBER(H108),ISNUMBER(J108),ISNUMBER(L108),ISNUMBER(M108)),MIN(M108,H108-J108+L108),"")</x:f>
        <x:v>70</x:v>
      </x:c>
      <x:c r="O108" s="31" t="n">
        <x:v>70</x:v>
      </x:c>
      <x:c r="P108" s="31" t="n">
        <x:f>IF(AND(ISNUMBER(O108),ISNUMBER(N108)),N108-O108,"")</x:f>
        <x:v>0</x:v>
      </x:c>
      <x:c r="Q108" s="31" t="str">
        <x:f>IF(E108="cast",J108-INDEX('Rules'!$G$15:$G$23,MATCH(F108,'Rules'!$F$15:$F$23,0)),"")</x:f>
      </x:c>
    </x:row>
    <x:row r="109" ht="22" customHeight="1">
      <x:c r="A109" s="17" t="str">
        <x:v>C13E02</x:v>
      </x:c>
      <x:c r="B109" s="51" t="n">
        <x:v>13</x:v>
      </x:c>
      <x:c r="C109" s="17" t="str">
        <x:v>Tessa</x:v>
      </x:c>
      <x:c r="D109" s="17" t="str">
        <x:v>Day 2 19:00:00</x:v>
      </x:c>
      <x:c r="E109" s="17" t="str">
        <x:v>rest</x:v>
      </x:c>
      <x:c r="F109" s="17"/>
      <x:c r="G109" s="42" t="n">
        <x:v>50</x:v>
      </x:c>
      <x:c r="H109" s="42" t="n">
        <x:f>N102</x:f>
        <x:v>50</x:v>
      </x:c>
      <x:c r="I109" s="42" t="n">
        <x:f>IF(AND(ISNUMBER(G109),ISNUMBER(H109)),H109-G109,"")</x:f>
        <x:v>0</x:v>
      </x:c>
      <x:c r="J109" s="42" t="n">
        <x:v>0</x:v>
      </x:c>
      <x:c r="K109" s="42" t="n">
        <x:v>5</x:v>
      </x:c>
      <x:c r="L109" s="42" t="n">
        <x:f>IF(AND(ISNUMBER(K109),ISNUMBER('Rules'!$B$10)),K109*'Rules'!$B$10,"")</x:f>
        <x:v>25</x:v>
      </x:c>
      <x:c r="M109" s="42" t="n">
        <x:f>'Rules'!$B$8+'Rules'!$B$9*('XP events'!J45-1)</x:f>
        <x:v>75</x:v>
      </x:c>
      <x:c r="N109" s="42" t="n">
        <x:f>IF(AND(ISNUMBER(H109),ISNUMBER(J109),ISNUMBER(L109),ISNUMBER(M109)),MIN(M109,H109-J109+L109),"")</x:f>
        <x:v>75</x:v>
      </x:c>
      <x:c r="O109" s="42" t="n">
        <x:v>75</x:v>
      </x:c>
      <x:c r="P109" s="42" t="n">
        <x:f>IF(AND(ISNUMBER(O109),ISNUMBER(N109)),N109-O109,"")</x:f>
        <x:v>0</x:v>
      </x:c>
      <x:c r="Q109" s="42" t="str">
        <x:f>IF(E109="cast",J109-INDEX('Rules'!$G$15:$G$23,MATCH(F109,'Rules'!$F$15:$F$23,0)),"")</x:f>
      </x:c>
    </x:row>
    <x:row r="110" ht="22" customHeight="1">
      <x:c r="A110" s="2" t="str">
        <x:v>C13E03</x:v>
      </x:c>
      <x:c r="B110" s="50" t="n">
        <x:v>13</x:v>
      </x:c>
      <x:c r="C110" s="2" t="str">
        <x:v>Dane</x:v>
      </x:c>
      <x:c r="D110" s="2" t="str">
        <x:v>Day 2 19:00:00</x:v>
      </x:c>
      <x:c r="E110" s="2" t="str">
        <x:v>rest</x:v>
      </x:c>
      <x:c r="F110" s="2"/>
      <x:c r="G110" s="31" t="n">
        <x:v>55</x:v>
      </x:c>
      <x:c r="H110" s="31" t="n">
        <x:f>N106</x:f>
        <x:v>55</x:v>
      </x:c>
      <x:c r="I110" s="31" t="n">
        <x:f>IF(AND(ISNUMBER(G110),ISNUMBER(H110)),H110-G110,"")</x:f>
        <x:v>0</x:v>
      </x:c>
      <x:c r="J110" s="31" t="n">
        <x:v>0</x:v>
      </x:c>
      <x:c r="K110" s="31" t="n">
        <x:v>7</x:v>
      </x:c>
      <x:c r="L110" s="31" t="n">
        <x:f>IF(AND(ISNUMBER(K110),ISNUMBER('Rules'!$B$10)),K110*'Rules'!$B$10,"")</x:f>
        <x:v>35</x:v>
      </x:c>
      <x:c r="M110" s="31" t="n">
        <x:f>'Rules'!$B$8+'Rules'!$B$9*('XP events'!J47-1)</x:f>
        <x:v>90</x:v>
      </x:c>
      <x:c r="N110" s="31" t="n">
        <x:f>IF(AND(ISNUMBER(H110),ISNUMBER(J110),ISNUMBER(L110),ISNUMBER(M110)),MIN(M110,H110-J110+L110),"")</x:f>
        <x:v>90</x:v>
      </x:c>
      <x:c r="O110" s="31" t="n">
        <x:v>90</x:v>
      </x:c>
      <x:c r="P110" s="31" t="n">
        <x:f>IF(AND(ISNUMBER(O110),ISNUMBER(N110)),N110-O110,"")</x:f>
        <x:v>0</x:v>
      </x:c>
      <x:c r="Q110" s="31" t="str">
        <x:f>IF(E110="cast",J110-INDEX('Rules'!$G$15:$G$23,MATCH(F110,'Rules'!$F$15:$F$23,0)),"")</x:f>
      </x:c>
    </x:row>
    <x:row r="111" ht="22" customHeight="1">
      <x:c r="A111" s="17" t="str">
        <x:v>C13E04</x:v>
      </x:c>
      <x:c r="B111" s="51" t="n">
        <x:v>13</x:v>
      </x:c>
      <x:c r="C111" s="17" t="str">
        <x:v>Kip</x:v>
      </x:c>
      <x:c r="D111" s="17" t="str">
        <x:v>Day 2 19:20:00</x:v>
      </x:c>
      <x:c r="E111" s="17" t="str">
        <x:v>cast</x:v>
      </x:c>
      <x:c r="F111" s="17" t="str">
        <x:v>Sovereign Ward</x:v>
      </x:c>
      <x:c r="G111" s="42" t="n">
        <x:v>70</x:v>
      </x:c>
      <x:c r="H111" s="42" t="n">
        <x:f>N108</x:f>
        <x:v>70</x:v>
      </x:c>
      <x:c r="I111" s="42" t="n">
        <x:f>IF(AND(ISNUMBER(G111),ISNUMBER(H111)),H111-G111,"")</x:f>
        <x:v>0</x:v>
      </x:c>
      <x:c r="J111" s="42" t="n">
        <x:v>15</x:v>
      </x:c>
      <x:c r="K111" s="42" t="n">
        <x:v>0</x:v>
      </x:c>
      <x:c r="L111" s="42" t="n">
        <x:f>IF(AND(ISNUMBER(K111),ISNUMBER('Rules'!$B$10)),K111*'Rules'!$B$10,"")</x:f>
        <x:v>0</x:v>
      </x:c>
      <x:c r="M111" s="42" t="n">
        <x:f>'Rules'!$B$8+'Rules'!$B$9*('XP events'!J44-1)</x:f>
        <x:v>70</x:v>
      </x:c>
      <x:c r="N111" s="42" t="n">
        <x:f>IF(AND(ISNUMBER(H111),ISNUMBER(J111),ISNUMBER(L111),ISNUMBER(M111)),MIN(M111,H111-J111+L111),"")</x:f>
        <x:v>55</x:v>
      </x:c>
      <x:c r="O111" s="42" t="n">
        <x:v>55</x:v>
      </x:c>
      <x:c r="P111" s="42" t="n">
        <x:f>IF(AND(ISNUMBER(O111),ISNUMBER(N111)),N111-O111,"")</x:f>
        <x:v>0</x:v>
      </x:c>
      <x:c r="Q111" s="42" t="n">
        <x:f>IF(E111="cast",J111-INDEX('Rules'!$G$15:$G$23,MATCH(F111,'Rules'!$F$15:$F$23,0)),"")</x:f>
        <x:v>0</x:v>
      </x:c>
    </x:row>
    <x:row r="112" ht="22" customHeight="1">
      <x:c r="A112" s="2" t="str">
        <x:v>C13E05</x:v>
      </x:c>
      <x:c r="B112" s="50" t="n">
        <x:v>13</x:v>
      </x:c>
      <x:c r="C112" s="2" t="str">
        <x:v>Kip</x:v>
      </x:c>
      <x:c r="D112" s="2" t="str">
        <x:v>Day 2 19:50:00</x:v>
      </x:c>
      <x:c r="E112" s="2" t="str">
        <x:v>cast</x:v>
      </x:c>
      <x:c r="F112" s="2" t="str">
        <x:v>Sovereign Ward</x:v>
      </x:c>
      <x:c r="G112" s="31" t="n">
        <x:v>55</x:v>
      </x:c>
      <x:c r="H112" s="31" t="n">
        <x:f>N111</x:f>
        <x:v>55</x:v>
      </x:c>
      <x:c r="I112" s="31" t="n">
        <x:f>IF(AND(ISNUMBER(G112),ISNUMBER(H112)),H112-G112,"")</x:f>
        <x:v>0</x:v>
      </x:c>
      <x:c r="J112" s="31" t="n">
        <x:v>15</x:v>
      </x:c>
      <x:c r="K112" s="31" t="n">
        <x:v>0</x:v>
      </x:c>
      <x:c r="L112" s="31" t="n">
        <x:f>IF(AND(ISNUMBER(K112),ISNUMBER('Rules'!$B$10)),K112*'Rules'!$B$10,"")</x:f>
        <x:v>0</x:v>
      </x:c>
      <x:c r="M112" s="31" t="n">
        <x:f>'Rules'!$B$8+'Rules'!$B$9*('XP events'!J44-1)</x:f>
        <x:v>70</x:v>
      </x:c>
      <x:c r="N112" s="31" t="n">
        <x:f>IF(AND(ISNUMBER(H112),ISNUMBER(J112),ISNUMBER(L112),ISNUMBER(M112)),MIN(M112,H112-J112+L112),"")</x:f>
        <x:v>40</x:v>
      </x:c>
      <x:c r="O112" s="31" t="n">
        <x:v>40</x:v>
      </x:c>
      <x:c r="P112" s="31" t="n">
        <x:f>IF(AND(ISNUMBER(O112),ISNUMBER(N112)),N112-O112,"")</x:f>
        <x:v>0</x:v>
      </x:c>
      <x:c r="Q112" s="31" t="n">
        <x:f>IF(E112="cast",J112-INDEX('Rules'!$G$15:$G$23,MATCH(F112,'Rules'!$F$15:$F$23,0)),"")</x:f>
        <x:v>0</x:v>
      </x:c>
    </x:row>
    <x:row r="113" ht="22" customHeight="1">
      <x:c r="A113" s="17" t="str">
        <x:v>C13E06</x:v>
      </x:c>
      <x:c r="B113" s="51" t="n">
        <x:v>13</x:v>
      </x:c>
      <x:c r="C113" s="17" t="str">
        <x:v>Kip</x:v>
      </x:c>
      <x:c r="D113" s="17" t="str">
        <x:v>Day 2 20:20:00</x:v>
      </x:c>
      <x:c r="E113" s="17" t="str">
        <x:v>cast</x:v>
      </x:c>
      <x:c r="F113" s="17" t="str">
        <x:v>Sovereign Ward</x:v>
      </x:c>
      <x:c r="G113" s="42" t="n">
        <x:v>40</x:v>
      </x:c>
      <x:c r="H113" s="42" t="n">
        <x:f>N112</x:f>
        <x:v>40</x:v>
      </x:c>
      <x:c r="I113" s="42" t="n">
        <x:f>IF(AND(ISNUMBER(G113),ISNUMBER(H113)),H113-G113,"")</x:f>
        <x:v>0</x:v>
      </x:c>
      <x:c r="J113" s="42" t="n">
        <x:v>15</x:v>
      </x:c>
      <x:c r="K113" s="42" t="n">
        <x:v>0</x:v>
      </x:c>
      <x:c r="L113" s="42" t="n">
        <x:f>IF(AND(ISNUMBER(K113),ISNUMBER('Rules'!$B$10)),K113*'Rules'!$B$10,"")</x:f>
        <x:v>0</x:v>
      </x:c>
      <x:c r="M113" s="42" t="n">
        <x:f>'Rules'!$B$8+'Rules'!$B$9*('XP events'!J44-1)</x:f>
        <x:v>70</x:v>
      </x:c>
      <x:c r="N113" s="42" t="n">
        <x:f>IF(AND(ISNUMBER(H113),ISNUMBER(J113),ISNUMBER(L113),ISNUMBER(M113)),MIN(M113,H113-J113+L113),"")</x:f>
        <x:v>25</x:v>
      </x:c>
      <x:c r="O113" s="42" t="n">
        <x:v>25</x:v>
      </x:c>
      <x:c r="P113" s="42" t="n">
        <x:f>IF(AND(ISNUMBER(O113),ISNUMBER(N113)),N113-O113,"")</x:f>
        <x:v>0</x:v>
      </x:c>
      <x:c r="Q113" s="42" t="n">
        <x:f>IF(E113="cast",J113-INDEX('Rules'!$G$15:$G$23,MATCH(F113,'Rules'!$F$15:$F$23,0)),"")</x:f>
        <x:v>0</x:v>
      </x:c>
    </x:row>
    <x:row r="114" ht="22" customHeight="1">
      <x:c r="A114" s="2" t="str">
        <x:v>C13E07</x:v>
      </x:c>
      <x:c r="B114" s="50" t="n">
        <x:v>13</x:v>
      </x:c>
      <x:c r="C114" s="2" t="str">
        <x:v>Kip</x:v>
      </x:c>
      <x:c r="D114" s="2" t="str">
        <x:v>Day 2 20:45:00</x:v>
      </x:c>
      <x:c r="E114" s="2" t="str">
        <x:v>rest</x:v>
      </x:c>
      <x:c r="F114" s="2"/>
      <x:c r="G114" s="31" t="n">
        <x:v>25</x:v>
      </x:c>
      <x:c r="H114" s="31" t="n">
        <x:f>N113</x:f>
        <x:v>25</x:v>
      </x:c>
      <x:c r="I114" s="31" t="n">
        <x:f>IF(AND(ISNUMBER(G114),ISNUMBER(H114)),H114-G114,"")</x:f>
        <x:v>0</x:v>
      </x:c>
      <x:c r="J114" s="31" t="n">
        <x:v>0</x:v>
      </x:c>
      <x:c r="K114" s="31" t="n">
        <x:v>9</x:v>
      </x:c>
      <x:c r="L114" s="31" t="n">
        <x:f>IF(AND(ISNUMBER(K114),ISNUMBER('Rules'!$B$10)),K114*'Rules'!$B$10,"")</x:f>
        <x:v>45</x:v>
      </x:c>
      <x:c r="M114" s="31" t="n">
        <x:f>'Rules'!$B$8+'Rules'!$B$9*('XP events'!J44-1)</x:f>
        <x:v>70</x:v>
      </x:c>
      <x:c r="N114" s="31" t="n">
        <x:f>IF(AND(ISNUMBER(H114),ISNUMBER(J114),ISNUMBER(L114),ISNUMBER(M114)),MIN(M114,H114-J114+L114),"")</x:f>
        <x:v>70</x:v>
      </x:c>
      <x:c r="O114" s="31" t="n">
        <x:v>70</x:v>
      </x:c>
      <x:c r="P114" s="31" t="n">
        <x:f>IF(AND(ISNUMBER(O114),ISNUMBER(N114)),N114-O114,"")</x:f>
        <x:v>0</x:v>
      </x:c>
      <x:c r="Q114" s="31" t="str">
        <x:f>IF(E114="cast",J114-INDEX('Rules'!$G$15:$G$23,MATCH(F114,'Rules'!$F$15:$F$23,0)),"")</x:f>
      </x:c>
    </x:row>
    <x:row r="115" ht="22" customHeight="1">
      <x:c r="A115" s="17" t="str">
        <x:v>C14E01</x:v>
      </x:c>
      <x:c r="B115" s="51" t="n">
        <x:v>14</x:v>
      </x:c>
      <x:c r="C115" s="17" t="str">
        <x:v>Tessa</x:v>
      </x:c>
      <x:c r="D115" s="17" t="str">
        <x:v>Day 3 07:20:00</x:v>
      </x:c>
      <x:c r="E115" s="17" t="str">
        <x:v>cast</x:v>
      </x:c>
      <x:c r="F115" s="17" t="str">
        <x:v>Trail Sight</x:v>
      </x:c>
      <x:c r="G115" s="42" t="n">
        <x:v>75</x:v>
      </x:c>
      <x:c r="H115" s="42" t="n">
        <x:f>N109</x:f>
        <x:v>75</x:v>
      </x:c>
      <x:c r="I115" s="42" t="n">
        <x:f>IF(AND(ISNUMBER(G115),ISNUMBER(H115)),H115-G115,"")</x:f>
        <x:v>0</x:v>
      </x:c>
      <x:c r="J115" s="42" t="n">
        <x:v>15</x:v>
      </x:c>
      <x:c r="K115" s="42" t="n">
        <x:v>0</x:v>
      </x:c>
      <x:c r="L115" s="42" t="n">
        <x:f>IF(AND(ISNUMBER(K115),ISNUMBER('Rules'!$B$10)),K115*'Rules'!$B$10,"")</x:f>
        <x:v>0</x:v>
      </x:c>
      <x:c r="M115" s="42" t="n">
        <x:f>'Rules'!$B$8+'Rules'!$B$9*('XP events'!J45-1)</x:f>
        <x:v>75</x:v>
      </x:c>
      <x:c r="N115" s="42" t="n">
        <x:f>IF(AND(ISNUMBER(H115),ISNUMBER(J115),ISNUMBER(L115),ISNUMBER(M115)),MIN(M115,H115-J115+L115),"")</x:f>
        <x:v>60</x:v>
      </x:c>
      <x:c r="O115" s="42" t="n">
        <x:v>60</x:v>
      </x:c>
      <x:c r="P115" s="42" t="n">
        <x:f>IF(AND(ISNUMBER(O115),ISNUMBER(N115)),N115-O115,"")</x:f>
        <x:v>0</x:v>
      </x:c>
      <x:c r="Q115" s="42" t="n">
        <x:f>IF(E115="cast",J115-INDEX('Rules'!$G$15:$G$23,MATCH(F115,'Rules'!$F$15:$F$23,0)),"")</x:f>
        <x:v>0</x:v>
      </x:c>
    </x:row>
    <x:row r="116" ht="22" customHeight="1">
      <x:c r="A116" s="2" t="str">
        <x:v>C14E02</x:v>
      </x:c>
      <x:c r="B116" s="50" t="n">
        <x:v>14</x:v>
      </x:c>
      <x:c r="C116" s="2" t="str">
        <x:v>Kip</x:v>
      </x:c>
      <x:c r="D116" s="2" t="str">
        <x:v>Day 3 07:30:00</x:v>
      </x:c>
      <x:c r="E116" s="2" t="str">
        <x:v>cast</x:v>
      </x:c>
      <x:c r="F116" s="2" t="str">
        <x:v>Override</x:v>
      </x:c>
      <x:c r="G116" s="31" t="n">
        <x:v>70</x:v>
      </x:c>
      <x:c r="H116" s="31" t="n">
        <x:f>N114</x:f>
        <x:v>70</x:v>
      </x:c>
      <x:c r="I116" s="31" t="n">
        <x:f>IF(AND(ISNUMBER(G116),ISNUMBER(H116)),H116-G116,"")</x:f>
        <x:v>0</x:v>
      </x:c>
      <x:c r="J116" s="31" t="n">
        <x:v>10</x:v>
      </x:c>
      <x:c r="K116" s="31" t="n">
        <x:v>0</x:v>
      </x:c>
      <x:c r="L116" s="31" t="n">
        <x:f>IF(AND(ISNUMBER(K116),ISNUMBER('Rules'!$B$10)),K116*'Rules'!$B$10,"")</x:f>
        <x:v>0</x:v>
      </x:c>
      <x:c r="M116" s="31" t="n">
        <x:f>'Rules'!$B$8+'Rules'!$B$9*('XP events'!J44-1)</x:f>
        <x:v>70</x:v>
      </x:c>
      <x:c r="N116" s="31" t="n">
        <x:f>IF(AND(ISNUMBER(H116),ISNUMBER(J116),ISNUMBER(L116),ISNUMBER(M116)),MIN(M116,H116-J116+L116),"")</x:f>
        <x:v>60</x:v>
      </x:c>
      <x:c r="O116" s="31" t="n">
        <x:v>60</x:v>
      </x:c>
      <x:c r="P116" s="31" t="n">
        <x:f>IF(AND(ISNUMBER(O116),ISNUMBER(N116)),N116-O116,"")</x:f>
        <x:v>0</x:v>
      </x:c>
      <x:c r="Q116" s="31" t="n">
        <x:f>IF(E116="cast",J116-INDEX('Rules'!$G$15:$G$23,MATCH(F116,'Rules'!$F$15:$F$23,0)),"")</x:f>
        <x:v>0</x:v>
      </x:c>
    </x:row>
    <x:row r="117" ht="22" customHeight="1">
      <x:c r="A117" s="17" t="str">
        <x:v>C14E03</x:v>
      </x:c>
      <x:c r="B117" s="51" t="n">
        <x:v>14</x:v>
      </x:c>
      <x:c r="C117" s="17" t="str">
        <x:v>Tessa</x:v>
      </x:c>
      <x:c r="D117" s="17" t="str">
        <x:v>Day 3 07:30:03</x:v>
      </x:c>
      <x:c r="E117" s="17" t="str">
        <x:v>cast</x:v>
      </x:c>
      <x:c r="F117" s="17" t="str">
        <x:v>Quickstep</x:v>
      </x:c>
      <x:c r="G117" s="42" t="n">
        <x:v>60</x:v>
      </x:c>
      <x:c r="H117" s="42" t="n">
        <x:f>N115</x:f>
        <x:v>60</x:v>
      </x:c>
      <x:c r="I117" s="42" t="n">
        <x:f>IF(AND(ISNUMBER(G117),ISNUMBER(H117)),H117-G117,"")</x:f>
        <x:v>0</x:v>
      </x:c>
      <x:c r="J117" s="42" t="n">
        <x:v>10</x:v>
      </x:c>
      <x:c r="K117" s="42" t="n">
        <x:v>0</x:v>
      </x:c>
      <x:c r="L117" s="42" t="n">
        <x:f>IF(AND(ISNUMBER(K117),ISNUMBER('Rules'!$B$10)),K117*'Rules'!$B$10,"")</x:f>
        <x:v>0</x:v>
      </x:c>
      <x:c r="M117" s="42" t="n">
        <x:f>'Rules'!$B$8+'Rules'!$B$9*('XP events'!J45-1)</x:f>
        <x:v>75</x:v>
      </x:c>
      <x:c r="N117" s="42" t="n">
        <x:f>IF(AND(ISNUMBER(H117),ISNUMBER(J117),ISNUMBER(L117),ISNUMBER(M117)),MIN(M117,H117-J117+L117),"")</x:f>
        <x:v>50</x:v>
      </x:c>
      <x:c r="O117" s="42" t="n">
        <x:v>50</x:v>
      </x:c>
      <x:c r="P117" s="42" t="n">
        <x:f>IF(AND(ISNUMBER(O117),ISNUMBER(N117)),N117-O117,"")</x:f>
        <x:v>0</x:v>
      </x:c>
      <x:c r="Q117" s="42" t="n">
        <x:f>IF(E117="cast",J117-INDEX('Rules'!$G$15:$G$23,MATCH(F117,'Rules'!$F$15:$F$23,0)),"")</x:f>
        <x:v>0</x:v>
      </x:c>
    </x:row>
    <x:row r="118" ht="22" customHeight="1">
      <x:c r="A118" s="2" t="str">
        <x:v>C14E04</x:v>
      </x:c>
      <x:c r="B118" s="50" t="n">
        <x:v>14</x:v>
      </x:c>
      <x:c r="C118" s="2" t="str">
        <x:v>Dane</x:v>
      </x:c>
      <x:c r="D118" s="2" t="str">
        <x:v>Day 3 07:30:05</x:v>
      </x:c>
      <x:c r="E118" s="2" t="str">
        <x:v>cast</x:v>
      </x:c>
      <x:c r="F118" s="2" t="str">
        <x:v>Interpose</x:v>
      </x:c>
      <x:c r="G118" s="31" t="n">
        <x:v>90</x:v>
      </x:c>
      <x:c r="H118" s="31" t="n">
        <x:f>N110</x:f>
        <x:v>90</x:v>
      </x:c>
      <x:c r="I118" s="31" t="n">
        <x:f>IF(AND(ISNUMBER(G118),ISNUMBER(H118)),H118-G118,"")</x:f>
        <x:v>0</x:v>
      </x:c>
      <x:c r="J118" s="31" t="n">
        <x:v>15</x:v>
      </x:c>
      <x:c r="K118" s="31" t="n">
        <x:v>0</x:v>
      </x:c>
      <x:c r="L118" s="31" t="n">
        <x:f>IF(AND(ISNUMBER(K118),ISNUMBER('Rules'!$B$10)),K118*'Rules'!$B$10,"")</x:f>
        <x:v>0</x:v>
      </x:c>
      <x:c r="M118" s="31" t="n">
        <x:f>'Rules'!$B$8+'Rules'!$B$9*('XP events'!J47-1)</x:f>
        <x:v>90</x:v>
      </x:c>
      <x:c r="N118" s="31" t="n">
        <x:f>IF(AND(ISNUMBER(H118),ISNUMBER(J118),ISNUMBER(L118),ISNUMBER(M118)),MIN(M118,H118-J118+L118),"")</x:f>
        <x:v>75</x:v>
      </x:c>
      <x:c r="O118" s="31" t="n">
        <x:v>75</x:v>
      </x:c>
      <x:c r="P118" s="31" t="n">
        <x:f>IF(AND(ISNUMBER(O118),ISNUMBER(N118)),N118-O118,"")</x:f>
        <x:v>0</x:v>
      </x:c>
      <x:c r="Q118" s="31" t="n">
        <x:f>IF(E118="cast",J118-INDEX('Rules'!$G$15:$G$23,MATCH(F118,'Rules'!$F$15:$F$23,0)),"")</x:f>
        <x:v>0</x:v>
      </x:c>
    </x:row>
    <x:row r="119" ht="22" customHeight="1">
      <x:c r="A119" s="17" t="str">
        <x:v>C14E05</x:v>
      </x:c>
      <x:c r="B119" s="51" t="n">
        <x:v>14</x:v>
      </x:c>
      <x:c r="C119" s="17" t="str">
        <x:v>Kip</x:v>
      </x:c>
      <x:c r="D119" s="17" t="str">
        <x:v>Day 3 07:30:10</x:v>
      </x:c>
      <x:c r="E119" s="17" t="str">
        <x:v>cast</x:v>
      </x:c>
      <x:c r="F119" s="17" t="str">
        <x:v>Sovereign Ward</x:v>
      </x:c>
      <x:c r="G119" s="42" t="n">
        <x:v>60</x:v>
      </x:c>
      <x:c r="H119" s="42" t="n">
        <x:f>N116</x:f>
        <x:v>60</x:v>
      </x:c>
      <x:c r="I119" s="42" t="n">
        <x:f>IF(AND(ISNUMBER(G119),ISNUMBER(H119)),H119-G119,"")</x:f>
        <x:v>0</x:v>
      </x:c>
      <x:c r="J119" s="42" t="n">
        <x:v>15</x:v>
      </x:c>
      <x:c r="K119" s="42" t="n">
        <x:v>0</x:v>
      </x:c>
      <x:c r="L119" s="42" t="n">
        <x:f>IF(AND(ISNUMBER(K119),ISNUMBER('Rules'!$B$10)),K119*'Rules'!$B$10,"")</x:f>
        <x:v>0</x:v>
      </x:c>
      <x:c r="M119" s="42" t="n">
        <x:f>'Rules'!$B$8+'Rules'!$B$9*('XP events'!J44-1)</x:f>
        <x:v>70</x:v>
      </x:c>
      <x:c r="N119" s="42" t="n">
        <x:f>IF(AND(ISNUMBER(H119),ISNUMBER(J119),ISNUMBER(L119),ISNUMBER(M119)),MIN(M119,H119-J119+L119),"")</x:f>
        <x:v>45</x:v>
      </x:c>
      <x:c r="O119" s="42" t="n">
        <x:v>45</x:v>
      </x:c>
      <x:c r="P119" s="42" t="n">
        <x:f>IF(AND(ISNUMBER(O119),ISNUMBER(N119)),N119-O119,"")</x:f>
        <x:v>0</x:v>
      </x:c>
      <x:c r="Q119" s="42" t="n">
        <x:f>IF(E119="cast",J119-INDEX('Rules'!$G$15:$G$23,MATCH(F119,'Rules'!$F$15:$F$23,0)),"")</x:f>
        <x:v>0</x:v>
      </x:c>
    </x:row>
    <x:row r="120" ht="22" customHeight="1">
      <x:c r="A120" s="2" t="str">
        <x:v>C14E06</x:v>
      </x:c>
      <x:c r="B120" s="50" t="n">
        <x:v>14</x:v>
      </x:c>
      <x:c r="C120" s="2" t="str">
        <x:v>Dane</x:v>
      </x:c>
      <x:c r="D120" s="2" t="str">
        <x:v>Day 3 07:31:00</x:v>
      </x:c>
      <x:c r="E120" s="2" t="str">
        <x:v>cast</x:v>
      </x:c>
      <x:c r="F120" s="2" t="str">
        <x:v>Bulwark</x:v>
      </x:c>
      <x:c r="G120" s="31" t="n">
        <x:v>75</x:v>
      </x:c>
      <x:c r="H120" s="31" t="n">
        <x:f>N118</x:f>
        <x:v>75</x:v>
      </x:c>
      <x:c r="I120" s="31" t="n">
        <x:f>IF(AND(ISNUMBER(G120),ISNUMBER(H120)),H120-G120,"")</x:f>
        <x:v>0</x:v>
      </x:c>
      <x:c r="J120" s="31" t="n">
        <x:v>20</x:v>
      </x:c>
      <x:c r="K120" s="31" t="n">
        <x:v>0</x:v>
      </x:c>
      <x:c r="L120" s="31" t="n">
        <x:f>IF(AND(ISNUMBER(K120),ISNUMBER('Rules'!$B$10)),K120*'Rules'!$B$10,"")</x:f>
        <x:v>0</x:v>
      </x:c>
      <x:c r="M120" s="31" t="n">
        <x:f>'Rules'!$B$8+'Rules'!$B$9*('XP events'!J47-1)</x:f>
        <x:v>90</x:v>
      </x:c>
      <x:c r="N120" s="31" t="n">
        <x:f>IF(AND(ISNUMBER(H120),ISNUMBER(J120),ISNUMBER(L120),ISNUMBER(M120)),MIN(M120,H120-J120+L120),"")</x:f>
        <x:v>55</x:v>
      </x:c>
      <x:c r="O120" s="31" t="n">
        <x:v>55</x:v>
      </x:c>
      <x:c r="P120" s="31" t="n">
        <x:f>IF(AND(ISNUMBER(O120),ISNUMBER(N120)),N120-O120,"")</x:f>
        <x:v>0</x:v>
      </x:c>
      <x:c r="Q120" s="31" t="n">
        <x:f>IF(E120="cast",J120-INDEX('Rules'!$G$15:$G$23,MATCH(F120,'Rules'!$F$15:$F$23,0)),"")</x:f>
        <x:v>0</x:v>
      </x:c>
    </x:row>
    <x:row r="121" ht="22" customHeight="1">
      <x:c r="A121" s="17" t="str">
        <x:v>C14E07</x:v>
      </x:c>
      <x:c r="B121" s="51" t="n">
        <x:v>14</x:v>
      </x:c>
      <x:c r="C121" s="17" t="str">
        <x:v>Kip</x:v>
      </x:c>
      <x:c r="D121" s="17" t="str">
        <x:v>Day 3 07:31:05</x:v>
      </x:c>
      <x:c r="E121" s="17" t="str">
        <x:v>cast</x:v>
      </x:c>
      <x:c r="F121" s="17" t="str">
        <x:v>Override</x:v>
      </x:c>
      <x:c r="G121" s="42" t="n">
        <x:v>45</x:v>
      </x:c>
      <x:c r="H121" s="42" t="n">
        <x:f>N119</x:f>
        <x:v>45</x:v>
      </x:c>
      <x:c r="I121" s="42" t="n">
        <x:f>IF(AND(ISNUMBER(G121),ISNUMBER(H121)),H121-G121,"")</x:f>
        <x:v>0</x:v>
      </x:c>
      <x:c r="J121" s="42" t="n">
        <x:v>10</x:v>
      </x:c>
      <x:c r="K121" s="42" t="n">
        <x:v>0</x:v>
      </x:c>
      <x:c r="L121" s="42" t="n">
        <x:f>IF(AND(ISNUMBER(K121),ISNUMBER('Rules'!$B$10)),K121*'Rules'!$B$10,"")</x:f>
        <x:v>0</x:v>
      </x:c>
      <x:c r="M121" s="42" t="n">
        <x:f>'Rules'!$B$8+'Rules'!$B$9*('XP events'!J44-1)</x:f>
        <x:v>70</x:v>
      </x:c>
      <x:c r="N121" s="42" t="n">
        <x:f>IF(AND(ISNUMBER(H121),ISNUMBER(J121),ISNUMBER(L121),ISNUMBER(M121)),MIN(M121,H121-J121+L121),"")</x:f>
        <x:v>35</x:v>
      </x:c>
      <x:c r="O121" s="42" t="n">
        <x:v>35</x:v>
      </x:c>
      <x:c r="P121" s="42" t="n">
        <x:f>IF(AND(ISNUMBER(O121),ISNUMBER(N121)),N121-O121,"")</x:f>
        <x:v>0</x:v>
      </x:c>
      <x:c r="Q121" s="42" t="n">
        <x:f>IF(E121="cast",J121-INDEX('Rules'!$G$15:$G$23,MATCH(F121,'Rules'!$F$15:$F$23,0)),"")</x:f>
        <x:v>0</x:v>
      </x:c>
    </x:row>
    <x:row r="122" ht="22" customHeight="1">
      <x:c r="A122" s="2" t="str">
        <x:v>C14E08</x:v>
      </x:c>
      <x:c r="B122" s="50" t="n">
        <x:v>14</x:v>
      </x:c>
      <x:c r="C122" s="2" t="str">
        <x:v>Owen</x:v>
      </x:c>
      <x:c r="D122" s="2" t="str">
        <x:v>Day 3 07:35:00</x:v>
      </x:c>
      <x:c r="E122" s="2" t="str">
        <x:v>cast</x:v>
      </x:c>
      <x:c r="F122" s="2" t="str">
        <x:v>Staunch</x:v>
      </x:c>
      <x:c r="G122" s="31" t="n">
        <x:v>90</x:v>
      </x:c>
      <x:c r="H122" s="31" t="n">
        <x:f>N99</x:f>
        <x:v>90</x:v>
      </x:c>
      <x:c r="I122" s="31" t="n">
        <x:f>IF(AND(ISNUMBER(G122),ISNUMBER(H122)),H122-G122,"")</x:f>
        <x:v>0</x:v>
      </x:c>
      <x:c r="J122" s="31" t="n">
        <x:v>10</x:v>
      </x:c>
      <x:c r="K122" s="31" t="n">
        <x:v>0</x:v>
      </x:c>
      <x:c r="L122" s="31" t="n">
        <x:f>IF(AND(ISNUMBER(K122),ISNUMBER('Rules'!$B$10)),K122*'Rules'!$B$10,"")</x:f>
        <x:v>0</x:v>
      </x:c>
      <x:c r="M122" s="31" t="n">
        <x:f>'Rules'!$B$8+'Rules'!$B$9*('XP events'!J46-1)</x:f>
        <x:v>90</x:v>
      </x:c>
      <x:c r="N122" s="31" t="n">
        <x:f>IF(AND(ISNUMBER(H122),ISNUMBER(J122),ISNUMBER(L122),ISNUMBER(M122)),MIN(M122,H122-J122+L122),"")</x:f>
        <x:v>80</x:v>
      </x:c>
      <x:c r="O122" s="31" t="n">
        <x:v>80</x:v>
      </x:c>
      <x:c r="P122" s="31" t="n">
        <x:f>IF(AND(ISNUMBER(O122),ISNUMBER(N122)),N122-O122,"")</x:f>
        <x:v>0</x:v>
      </x:c>
      <x:c r="Q122" s="31" t="n">
        <x:f>IF(E122="cast",J122-INDEX('Rules'!$G$15:$G$23,MATCH(F122,'Rules'!$F$15:$F$23,0)),"")</x:f>
        <x:v>0</x:v>
      </x:c>
    </x:row>
    <x:row r="123" ht="22" customHeight="1">
      <x:c r="A123" s="17" t="str">
        <x:v>C14E09</x:v>
      </x:c>
      <x:c r="B123" s="51" t="n">
        <x:v>14</x:v>
      </x:c>
      <x:c r="C123" s="17" t="str">
        <x:v>Owen</x:v>
      </x:c>
      <x:c r="D123" s="17" t="str">
        <x:v>Day 3 07:36:00</x:v>
      </x:c>
      <x:c r="E123" s="17" t="str">
        <x:v>cast</x:v>
      </x:c>
      <x:c r="F123" s="17" t="str">
        <x:v>Mend</x:v>
      </x:c>
      <x:c r="G123" s="42" t="n">
        <x:v>80</x:v>
      </x:c>
      <x:c r="H123" s="42" t="n">
        <x:f>N122</x:f>
        <x:v>80</x:v>
      </x:c>
      <x:c r="I123" s="42" t="n">
        <x:f>IF(AND(ISNUMBER(G123),ISNUMBER(H123)),H123-G123,"")</x:f>
        <x:v>0</x:v>
      </x:c>
      <x:c r="J123" s="42" t="n">
        <x:v>20</x:v>
      </x:c>
      <x:c r="K123" s="42" t="n">
        <x:v>0</x:v>
      </x:c>
      <x:c r="L123" s="42" t="n">
        <x:f>IF(AND(ISNUMBER(K123),ISNUMBER('Rules'!$B$10)),K123*'Rules'!$B$10,"")</x:f>
        <x:v>0</x:v>
      </x:c>
      <x:c r="M123" s="42" t="n">
        <x:f>'Rules'!$B$8+'Rules'!$B$9*('XP events'!J46-1)</x:f>
        <x:v>90</x:v>
      </x:c>
      <x:c r="N123" s="42" t="n">
        <x:f>IF(AND(ISNUMBER(H123),ISNUMBER(J123),ISNUMBER(L123),ISNUMBER(M123)),MIN(M123,H123-J123+L123),"")</x:f>
        <x:v>60</x:v>
      </x:c>
      <x:c r="O123" s="42" t="n">
        <x:v>60</x:v>
      </x:c>
      <x:c r="P123" s="42" t="n">
        <x:f>IF(AND(ISNUMBER(O123),ISNUMBER(N123)),N123-O123,"")</x:f>
        <x:v>0</x:v>
      </x:c>
      <x:c r="Q123" s="42" t="n">
        <x:f>IF(E123="cast",J123-INDEX('Rules'!$G$15:$G$23,MATCH(F123,'Rules'!$F$15:$F$23,0)),"")</x:f>
        <x:v>0</x:v>
      </x:c>
    </x:row>
    <x:row r="124" ht="22" customHeight="1">
      <x:c r="A124" s="2" t="str">
        <x:v>C14E10</x:v>
      </x:c>
      <x:c r="B124" s="50" t="n">
        <x:v>14</x:v>
      </x:c>
      <x:c r="C124" s="2" t="str">
        <x:v>Owen</x:v>
      </x:c>
      <x:c r="D124" s="2" t="str">
        <x:v>Day 3 07:38:00</x:v>
      </x:c>
      <x:c r="E124" s="2" t="str">
        <x:v>cast</x:v>
      </x:c>
      <x:c r="F124" s="2" t="str">
        <x:v>Staunch</x:v>
      </x:c>
      <x:c r="G124" s="31" t="n">
        <x:v>60</x:v>
      </x:c>
      <x:c r="H124" s="31" t="n">
        <x:f>N123</x:f>
        <x:v>60</x:v>
      </x:c>
      <x:c r="I124" s="31" t="n">
        <x:f>IF(AND(ISNUMBER(G124),ISNUMBER(H124)),H124-G124,"")</x:f>
        <x:v>0</x:v>
      </x:c>
      <x:c r="J124" s="31" t="n">
        <x:v>10</x:v>
      </x:c>
      <x:c r="K124" s="31" t="n">
        <x:v>0</x:v>
      </x:c>
      <x:c r="L124" s="31" t="n">
        <x:f>IF(AND(ISNUMBER(K124),ISNUMBER('Rules'!$B$10)),K124*'Rules'!$B$10,"")</x:f>
        <x:v>0</x:v>
      </x:c>
      <x:c r="M124" s="31" t="n">
        <x:f>'Rules'!$B$8+'Rules'!$B$9*('XP events'!J46-1)</x:f>
        <x:v>90</x:v>
      </x:c>
      <x:c r="N124" s="31" t="n">
        <x:f>IF(AND(ISNUMBER(H124),ISNUMBER(J124),ISNUMBER(L124),ISNUMBER(M124)),MIN(M124,H124-J124+L124),"")</x:f>
        <x:v>50</x:v>
      </x:c>
      <x:c r="O124" s="31" t="n">
        <x:v>50</x:v>
      </x:c>
      <x:c r="P124" s="31" t="n">
        <x:f>IF(AND(ISNUMBER(O124),ISNUMBER(N124)),N124-O124,"")</x:f>
        <x:v>0</x:v>
      </x:c>
      <x:c r="Q124" s="31" t="n">
        <x:f>IF(E124="cast",J124-INDEX('Rules'!$G$15:$G$23,MATCH(F124,'Rules'!$F$15:$F$23,0)),"")</x:f>
        <x:v>0</x:v>
      </x:c>
    </x:row>
    <x:row r="125" ht="22" customHeight="1">
      <x:c r="A125" s="17" t="str">
        <x:v>C14E11</x:v>
      </x:c>
      <x:c r="B125" s="51" t="n">
        <x:v>14</x:v>
      </x:c>
      <x:c r="C125" s="17" t="str">
        <x:v>Owen</x:v>
      </x:c>
      <x:c r="D125" s="17" t="str">
        <x:v>Day 3 07:39:00</x:v>
      </x:c>
      <x:c r="E125" s="17" t="str">
        <x:v>cast</x:v>
      </x:c>
      <x:c r="F125" s="17" t="str">
        <x:v>Mend</x:v>
      </x:c>
      <x:c r="G125" s="42" t="n">
        <x:v>50</x:v>
      </x:c>
      <x:c r="H125" s="42" t="n">
        <x:f>N124</x:f>
        <x:v>50</x:v>
      </x:c>
      <x:c r="I125" s="42" t="n">
        <x:f>IF(AND(ISNUMBER(G125),ISNUMBER(H125)),H125-G125,"")</x:f>
        <x:v>0</x:v>
      </x:c>
      <x:c r="J125" s="42" t="n">
        <x:v>20</x:v>
      </x:c>
      <x:c r="K125" s="42" t="n">
        <x:v>0</x:v>
      </x:c>
      <x:c r="L125" s="42" t="n">
        <x:f>IF(AND(ISNUMBER(K125),ISNUMBER('Rules'!$B$10)),K125*'Rules'!$B$10,"")</x:f>
        <x:v>0</x:v>
      </x:c>
      <x:c r="M125" s="42" t="n">
        <x:f>'Rules'!$B$8+'Rules'!$B$9*('XP events'!J46-1)</x:f>
        <x:v>90</x:v>
      </x:c>
      <x:c r="N125" s="42" t="n">
        <x:f>IF(AND(ISNUMBER(H125),ISNUMBER(J125),ISNUMBER(L125),ISNUMBER(M125)),MIN(M125,H125-J125+L125),"")</x:f>
        <x:v>30</x:v>
      </x:c>
      <x:c r="O125" s="42" t="n">
        <x:v>30</x:v>
      </x:c>
      <x:c r="P125" s="42" t="n">
        <x:f>IF(AND(ISNUMBER(O125),ISNUMBER(N125)),N125-O125,"")</x:f>
        <x:v>0</x:v>
      </x:c>
      <x:c r="Q125" s="42" t="n">
        <x:f>IF(E125="cast",J125-INDEX('Rules'!$G$15:$G$23,MATCH(F125,'Rules'!$F$15:$F$23,0)),"")</x:f>
        <x:v>0</x:v>
      </x:c>
    </x:row>
    <x:row r="126" ht="22" customHeight="1">
      <x:c r="A126" s="2" t="str">
        <x:v>C14E13</x:v>
      </x:c>
      <x:c r="B126" s="50" t="n">
        <x:v>14</x:v>
      </x:c>
      <x:c r="C126" s="2" t="str">
        <x:v>Kip</x:v>
      </x:c>
      <x:c r="D126" s="2" t="str">
        <x:v>Day 3 09:00:00</x:v>
      </x:c>
      <x:c r="E126" s="2" t="str">
        <x:v>rest</x:v>
      </x:c>
      <x:c r="F126" s="2"/>
      <x:c r="G126" s="31" t="n">
        <x:v>35</x:v>
      </x:c>
      <x:c r="H126" s="31" t="n">
        <x:f>N121</x:f>
        <x:v>35</x:v>
      </x:c>
      <x:c r="I126" s="31" t="n">
        <x:f>IF(AND(ISNUMBER(G126),ISNUMBER(H126)),H126-G126,"")</x:f>
        <x:v>0</x:v>
      </x:c>
      <x:c r="J126" s="31" t="n">
        <x:v>0</x:v>
      </x:c>
      <x:c r="K126" s="31" t="n">
        <x:v>7</x:v>
      </x:c>
      <x:c r="L126" s="31" t="n">
        <x:f>IF(AND(ISNUMBER(K126),ISNUMBER('Rules'!$B$10)),K126*'Rules'!$B$10,"")</x:f>
        <x:v>35</x:v>
      </x:c>
      <x:c r="M126" s="31" t="n">
        <x:f>'Rules'!$B$8+'Rules'!$B$9*('XP events'!J48-1)</x:f>
        <x:v>70</x:v>
      </x:c>
      <x:c r="N126" s="31" t="n">
        <x:f>IF(AND(ISNUMBER(H126),ISNUMBER(J126),ISNUMBER(L126),ISNUMBER(M126)),MIN(M126,H126-J126+L126),"")</x:f>
        <x:v>70</x:v>
      </x:c>
      <x:c r="O126" s="31" t="n">
        <x:v>70</x:v>
      </x:c>
      <x:c r="P126" s="31" t="n">
        <x:f>IF(AND(ISNUMBER(O126),ISNUMBER(N126)),N126-O126,"")</x:f>
        <x:v>0</x:v>
      </x:c>
      <x:c r="Q126" s="31" t="str">
        <x:f>IF(E126="cast",J126-INDEX('Rules'!$G$15:$G$23,MATCH(F126,'Rules'!$F$15:$F$23,0)),"")</x:f>
      </x:c>
    </x:row>
    <x:row r="127" ht="22" customHeight="1">
      <x:c r="A127" s="17" t="str">
        <x:v>C14E14</x:v>
      </x:c>
      <x:c r="B127" s="51" t="n">
        <x:v>14</x:v>
      </x:c>
      <x:c r="C127" s="17" t="str">
        <x:v>Tessa</x:v>
      </x:c>
      <x:c r="D127" s="17" t="str">
        <x:v>Day 3 09:00:00</x:v>
      </x:c>
      <x:c r="E127" s="17" t="str">
        <x:v>rest</x:v>
      </x:c>
      <x:c r="F127" s="17"/>
      <x:c r="G127" s="42" t="n">
        <x:v>50</x:v>
      </x:c>
      <x:c r="H127" s="42" t="n">
        <x:f>N117</x:f>
        <x:v>50</x:v>
      </x:c>
      <x:c r="I127" s="42" t="n">
        <x:f>IF(AND(ISNUMBER(G127),ISNUMBER(H127)),H127-G127,"")</x:f>
        <x:v>0</x:v>
      </x:c>
      <x:c r="J127" s="42" t="n">
        <x:v>0</x:v>
      </x:c>
      <x:c r="K127" s="42" t="n">
        <x:v>6</x:v>
      </x:c>
      <x:c r="L127" s="42" t="n">
        <x:f>IF(AND(ISNUMBER(K127),ISNUMBER('Rules'!$B$10)),K127*'Rules'!$B$10,"")</x:f>
        <x:v>30</x:v>
      </x:c>
      <x:c r="M127" s="42" t="n">
        <x:f>'Rules'!$B$8+'Rules'!$B$9*('XP events'!J49-1)</x:f>
        <x:v>80</x:v>
      </x:c>
      <x:c r="N127" s="42" t="n">
        <x:f>IF(AND(ISNUMBER(H127),ISNUMBER(J127),ISNUMBER(L127),ISNUMBER(M127)),MIN(M127,H127-J127+L127),"")</x:f>
        <x:v>80</x:v>
      </x:c>
      <x:c r="O127" s="42" t="n">
        <x:v>80</x:v>
      </x:c>
      <x:c r="P127" s="42" t="n">
        <x:f>IF(AND(ISNUMBER(O127),ISNUMBER(N127)),N127-O127,"")</x:f>
        <x:v>0</x:v>
      </x:c>
      <x:c r="Q127" s="42" t="str">
        <x:f>IF(E127="cast",J127-INDEX('Rules'!$G$15:$G$23,MATCH(F127,'Rules'!$F$15:$F$23,0)),"")</x:f>
      </x:c>
    </x:row>
    <x:row r="128" ht="22" customHeight="1">
      <x:c r="A128" s="2" t="str">
        <x:v>C14E15</x:v>
      </x:c>
      <x:c r="B128" s="50" t="n">
        <x:v>14</x:v>
      </x:c>
      <x:c r="C128" s="2" t="str">
        <x:v>Owen</x:v>
      </x:c>
      <x:c r="D128" s="2" t="str">
        <x:v>Day 3 09:00:00</x:v>
      </x:c>
      <x:c r="E128" s="2" t="str">
        <x:v>rest</x:v>
      </x:c>
      <x:c r="F128" s="2"/>
      <x:c r="G128" s="31" t="n">
        <x:v>30</x:v>
      </x:c>
      <x:c r="H128" s="31" t="n">
        <x:f>N125</x:f>
        <x:v>30</x:v>
      </x:c>
      <x:c r="I128" s="31" t="n">
        <x:f>IF(AND(ISNUMBER(G128),ISNUMBER(H128)),H128-G128,"")</x:f>
        <x:v>0</x:v>
      </x:c>
      <x:c r="J128" s="31" t="n">
        <x:v>0</x:v>
      </x:c>
      <x:c r="K128" s="31" t="n">
        <x:v>12</x:v>
      </x:c>
      <x:c r="L128" s="31" t="n">
        <x:f>IF(AND(ISNUMBER(K128),ISNUMBER('Rules'!$B$10)),K128*'Rules'!$B$10,"")</x:f>
        <x:v>60</x:v>
      </x:c>
      <x:c r="M128" s="31" t="n">
        <x:f>'Rules'!$B$8+'Rules'!$B$9*('XP events'!J50-1)</x:f>
        <x:v>90</x:v>
      </x:c>
      <x:c r="N128" s="31" t="n">
        <x:f>IF(AND(ISNUMBER(H128),ISNUMBER(J128),ISNUMBER(L128),ISNUMBER(M128)),MIN(M128,H128-J128+L128),"")</x:f>
        <x:v>90</x:v>
      </x:c>
      <x:c r="O128" s="31" t="n">
        <x:v>90</x:v>
      </x:c>
      <x:c r="P128" s="31" t="n">
        <x:f>IF(AND(ISNUMBER(O128),ISNUMBER(N128)),N128-O128,"")</x:f>
        <x:v>0</x:v>
      </x:c>
      <x:c r="Q128" s="31" t="str">
        <x:f>IF(E128="cast",J128-INDEX('Rules'!$G$15:$G$23,MATCH(F128,'Rules'!$F$15:$F$23,0)),"")</x:f>
      </x:c>
    </x:row>
    <x:row r="129" ht="22" customHeight="1">
      <x:c r="A129" s="17" t="str">
        <x:v>C14E16</x:v>
      </x:c>
      <x:c r="B129" s="51" t="n">
        <x:v>14</x:v>
      </x:c>
      <x:c r="C129" s="17" t="str">
        <x:v>Dane</x:v>
      </x:c>
      <x:c r="D129" s="17" t="str">
        <x:v>Day 3 09:00:00</x:v>
      </x:c>
      <x:c r="E129" s="17" t="str">
        <x:v>rest</x:v>
      </x:c>
      <x:c r="F129" s="17"/>
      <x:c r="G129" s="42" t="n">
        <x:v>55</x:v>
      </x:c>
      <x:c r="H129" s="42" t="n">
        <x:f>N120</x:f>
        <x:v>55</x:v>
      </x:c>
      <x:c r="I129" s="42" t="n">
        <x:f>IF(AND(ISNUMBER(G129),ISNUMBER(H129)),H129-G129,"")</x:f>
        <x:v>0</x:v>
      </x:c>
      <x:c r="J129" s="42" t="n">
        <x:v>0</x:v>
      </x:c>
      <x:c r="K129" s="42" t="n">
        <x:v>7</x:v>
      </x:c>
      <x:c r="L129" s="42" t="n">
        <x:f>IF(AND(ISNUMBER(K129),ISNUMBER('Rules'!$B$10)),K129*'Rules'!$B$10,"")</x:f>
        <x:v>35</x:v>
      </x:c>
      <x:c r="M129" s="42" t="n">
        <x:f>'Rules'!$B$8+'Rules'!$B$9*('XP events'!J51-1)</x:f>
        <x:v>90</x:v>
      </x:c>
      <x:c r="N129" s="42" t="n">
        <x:f>IF(AND(ISNUMBER(H129),ISNUMBER(J129),ISNUMBER(L129),ISNUMBER(M129)),MIN(M129,H129-J129+L129),"")</x:f>
        <x:v>90</x:v>
      </x:c>
      <x:c r="O129" s="42" t="n">
        <x:v>90</x:v>
      </x:c>
      <x:c r="P129" s="42" t="n">
        <x:f>IF(AND(ISNUMBER(O129),ISNUMBER(N129)),N129-O129,"")</x:f>
        <x:v>0</x:v>
      </x:c>
      <x:c r="Q129" s="42" t="str">
        <x:f>IF(E129="cast",J129-INDEX('Rules'!$G$15:$G$23,MATCH(F129,'Rules'!$F$15:$F$23,0)),"")</x:f>
      </x:c>
    </x:row>
    <x:row r="130" ht="22" customHeight="1">
      <x:c r="A130" s="2" t="str">
        <x:v>C15E01</x:v>
      </x:c>
      <x:c r="B130" s="50" t="n">
        <x:v>15</x:v>
      </x:c>
      <x:c r="C130" s="2" t="str">
        <x:v>Tessa</x:v>
      </x:c>
      <x:c r="D130" s="2" t="str">
        <x:v>Day 3 10:15:00</x:v>
      </x:c>
      <x:c r="E130" s="2" t="str">
        <x:v>cast</x:v>
      </x:c>
      <x:c r="F130" s="2" t="str">
        <x:v>Quickstep</x:v>
      </x:c>
      <x:c r="G130" s="31" t="n">
        <x:v>80</x:v>
      </x:c>
      <x:c r="H130" s="31" t="n">
        <x:f>N127</x:f>
        <x:v>80</x:v>
      </x:c>
      <x:c r="I130" s="31" t="n">
        <x:f>IF(AND(ISNUMBER(G130),ISNUMBER(H130)),H130-G130,"")</x:f>
        <x:v>0</x:v>
      </x:c>
      <x:c r="J130" s="31" t="n">
        <x:v>10</x:v>
      </x:c>
      <x:c r="K130" s="31" t="n">
        <x:v>0</x:v>
      </x:c>
      <x:c r="L130" s="31" t="n">
        <x:f>IF(AND(ISNUMBER(K130),ISNUMBER('Rules'!$B$10)),K130*'Rules'!$B$10,"")</x:f>
        <x:v>0</x:v>
      </x:c>
      <x:c r="M130" s="31" t="n">
        <x:f>'Rules'!$B$8+'Rules'!$B$9*('XP events'!J49-1)</x:f>
        <x:v>80</x:v>
      </x:c>
      <x:c r="N130" s="31" t="n">
        <x:f>IF(AND(ISNUMBER(H130),ISNUMBER(J130),ISNUMBER(L130),ISNUMBER(M130)),MIN(M130,H130-J130+L130),"")</x:f>
        <x:v>70</x:v>
      </x:c>
      <x:c r="O130" s="31" t="n">
        <x:v>70</x:v>
      </x:c>
      <x:c r="P130" s="31" t="n">
        <x:f>IF(AND(ISNUMBER(O130),ISNUMBER(N130)),N130-O130,"")</x:f>
        <x:v>0</x:v>
      </x:c>
      <x:c r="Q130" s="31" t="n">
        <x:f>IF(E130="cast",J130-INDEX('Rules'!$G$15:$G$23,MATCH(F130,'Rules'!$F$15:$F$23,0)),"")</x:f>
        <x:v>0</x:v>
      </x:c>
    </x:row>
    <x:row r="131" ht="22" customHeight="1">
      <x:c r="A131" s="17" t="str">
        <x:v>C15E02</x:v>
      </x:c>
      <x:c r="B131" s="51" t="n">
        <x:v>15</x:v>
      </x:c>
      <x:c r="C131" s="17" t="str">
        <x:v>Kip</x:v>
      </x:c>
      <x:c r="D131" s="17" t="str">
        <x:v>Day 3 10:15:03</x:v>
      </x:c>
      <x:c r="E131" s="17" t="str">
        <x:v>cast</x:v>
      </x:c>
      <x:c r="F131" s="17" t="str">
        <x:v>Override</x:v>
      </x:c>
      <x:c r="G131" s="42" t="n">
        <x:v>70</x:v>
      </x:c>
      <x:c r="H131" s="42" t="n">
        <x:f>N126</x:f>
        <x:v>70</x:v>
      </x:c>
      <x:c r="I131" s="42" t="n">
        <x:f>IF(AND(ISNUMBER(G131),ISNUMBER(H131)),H131-G131,"")</x:f>
        <x:v>0</x:v>
      </x:c>
      <x:c r="J131" s="42" t="n">
        <x:v>10</x:v>
      </x:c>
      <x:c r="K131" s="42" t="n">
        <x:v>0</x:v>
      </x:c>
      <x:c r="L131" s="42" t="n">
        <x:f>IF(AND(ISNUMBER(K131),ISNUMBER('Rules'!$B$10)),K131*'Rules'!$B$10,"")</x:f>
        <x:v>0</x:v>
      </x:c>
      <x:c r="M131" s="42" t="n">
        <x:f>'Rules'!$B$8+'Rules'!$B$9*('XP events'!J48-1)</x:f>
        <x:v>70</x:v>
      </x:c>
      <x:c r="N131" s="42" t="n">
        <x:f>IF(AND(ISNUMBER(H131),ISNUMBER(J131),ISNUMBER(L131),ISNUMBER(M131)),MIN(M131,H131-J131+L131),"")</x:f>
        <x:v>60</x:v>
      </x:c>
      <x:c r="O131" s="42" t="n">
        <x:v>60</x:v>
      </x:c>
      <x:c r="P131" s="42" t="n">
        <x:f>IF(AND(ISNUMBER(O131),ISNUMBER(N131)),N131-O131,"")</x:f>
        <x:v>0</x:v>
      </x:c>
      <x:c r="Q131" s="42" t="n">
        <x:f>IF(E131="cast",J131-INDEX('Rules'!$G$15:$G$23,MATCH(F131,'Rules'!$F$15:$F$23,0)),"")</x:f>
        <x:v>0</x:v>
      </x:c>
    </x:row>
    <x:row r="132" ht="22" customHeight="1">
      <x:c r="A132" s="2" t="str">
        <x:v>C15E03</x:v>
      </x:c>
      <x:c r="B132" s="50" t="n">
        <x:v>15</x:v>
      </x:c>
      <x:c r="C132" s="2" t="str">
        <x:v>Dane</x:v>
      </x:c>
      <x:c r="D132" s="2" t="str">
        <x:v>Day 3 10:15:05</x:v>
      </x:c>
      <x:c r="E132" s="2" t="str">
        <x:v>cast</x:v>
      </x:c>
      <x:c r="F132" s="2" t="str">
        <x:v>Interpose</x:v>
      </x:c>
      <x:c r="G132" s="31" t="n">
        <x:v>90</x:v>
      </x:c>
      <x:c r="H132" s="31" t="n">
        <x:f>N129</x:f>
        <x:v>90</x:v>
      </x:c>
      <x:c r="I132" s="31" t="n">
        <x:f>IF(AND(ISNUMBER(G132),ISNUMBER(H132)),H132-G132,"")</x:f>
        <x:v>0</x:v>
      </x:c>
      <x:c r="J132" s="31" t="n">
        <x:v>15</x:v>
      </x:c>
      <x:c r="K132" s="31" t="n">
        <x:v>0</x:v>
      </x:c>
      <x:c r="L132" s="31" t="n">
        <x:f>IF(AND(ISNUMBER(K132),ISNUMBER('Rules'!$B$10)),K132*'Rules'!$B$10,"")</x:f>
        <x:v>0</x:v>
      </x:c>
      <x:c r="M132" s="31" t="n">
        <x:f>'Rules'!$B$8+'Rules'!$B$9*('XP events'!J51-1)</x:f>
        <x:v>90</x:v>
      </x:c>
      <x:c r="N132" s="31" t="n">
        <x:f>IF(AND(ISNUMBER(H132),ISNUMBER(J132),ISNUMBER(L132),ISNUMBER(M132)),MIN(M132,H132-J132+L132),"")</x:f>
        <x:v>75</x:v>
      </x:c>
      <x:c r="O132" s="31" t="n">
        <x:v>75</x:v>
      </x:c>
      <x:c r="P132" s="31" t="n">
        <x:f>IF(AND(ISNUMBER(O132),ISNUMBER(N132)),N132-O132,"")</x:f>
        <x:v>0</x:v>
      </x:c>
      <x:c r="Q132" s="31" t="n">
        <x:f>IF(E132="cast",J132-INDEX('Rules'!$G$15:$G$23,MATCH(F132,'Rules'!$F$15:$F$23,0)),"")</x:f>
        <x:v>0</x:v>
      </x:c>
    </x:row>
    <x:row r="133" ht="22" customHeight="1">
      <x:c r="A133" s="17" t="str">
        <x:v>C15E04</x:v>
      </x:c>
      <x:c r="B133" s="51" t="n">
        <x:v>15</x:v>
      </x:c>
      <x:c r="C133" s="17" t="str">
        <x:v>Kip</x:v>
      </x:c>
      <x:c r="D133" s="17" t="str">
        <x:v>Day 3 10:16:00</x:v>
      </x:c>
      <x:c r="E133" s="17" t="str">
        <x:v>cast</x:v>
      </x:c>
      <x:c r="F133" s="17" t="str">
        <x:v>Claim Room</x:v>
      </x:c>
      <x:c r="G133" s="42" t="n">
        <x:v>60</x:v>
      </x:c>
      <x:c r="H133" s="42" t="n">
        <x:f>N131</x:f>
        <x:v>60</x:v>
      </x:c>
      <x:c r="I133" s="42" t="n">
        <x:f>IF(AND(ISNUMBER(G133),ISNUMBER(H133)),H133-G133,"")</x:f>
        <x:v>0</x:v>
      </x:c>
      <x:c r="J133" s="42" t="n">
        <x:v>20</x:v>
      </x:c>
      <x:c r="K133" s="42" t="n">
        <x:v>0</x:v>
      </x:c>
      <x:c r="L133" s="42" t="n">
        <x:f>IF(AND(ISNUMBER(K133),ISNUMBER('Rules'!$B$10)),K133*'Rules'!$B$10,"")</x:f>
        <x:v>0</x:v>
      </x:c>
      <x:c r="M133" s="42" t="n">
        <x:f>'Rules'!$B$8+'Rules'!$B$9*('XP events'!J48-1)</x:f>
        <x:v>70</x:v>
      </x:c>
      <x:c r="N133" s="42" t="n">
        <x:f>IF(AND(ISNUMBER(H133),ISNUMBER(J133),ISNUMBER(L133),ISNUMBER(M133)),MIN(M133,H133-J133+L133),"")</x:f>
        <x:v>40</x:v>
      </x:c>
      <x:c r="O133" s="42" t="n">
        <x:v>40</x:v>
      </x:c>
      <x:c r="P133" s="42" t="n">
        <x:f>IF(AND(ISNUMBER(O133),ISNUMBER(N133)),N133-O133,"")</x:f>
        <x:v>0</x:v>
      </x:c>
      <x:c r="Q133" s="42" t="n">
        <x:f>IF(E133="cast",J133-INDEX('Rules'!$G$15:$G$23,MATCH(F133,'Rules'!$F$15:$F$23,0)),"")</x:f>
        <x:v>0</x:v>
      </x:c>
    </x:row>
    <x:row r="134" ht="22" customHeight="1">
      <x:c r="A134" s="2" t="str">
        <x:v>C15E05</x:v>
      </x:c>
      <x:c r="B134" s="50" t="n">
        <x:v>15</x:v>
      </x:c>
      <x:c r="C134" s="2" t="str">
        <x:v>Dane</x:v>
      </x:c>
      <x:c r="D134" s="2" t="str">
        <x:v>Day 3 10:16:25</x:v>
      </x:c>
      <x:c r="E134" s="2" t="str">
        <x:v>cast</x:v>
      </x:c>
      <x:c r="F134" s="2" t="str">
        <x:v>Bulwark</x:v>
      </x:c>
      <x:c r="G134" s="31" t="n">
        <x:v>75</x:v>
      </x:c>
      <x:c r="H134" s="31" t="n">
        <x:f>N132</x:f>
        <x:v>75</x:v>
      </x:c>
      <x:c r="I134" s="31" t="n">
        <x:f>IF(AND(ISNUMBER(G134),ISNUMBER(H134)),H134-G134,"")</x:f>
        <x:v>0</x:v>
      </x:c>
      <x:c r="J134" s="31" t="n">
        <x:v>20</x:v>
      </x:c>
      <x:c r="K134" s="31" t="n">
        <x:v>0</x:v>
      </x:c>
      <x:c r="L134" s="31" t="n">
        <x:f>IF(AND(ISNUMBER(K134),ISNUMBER('Rules'!$B$10)),K134*'Rules'!$B$10,"")</x:f>
        <x:v>0</x:v>
      </x:c>
      <x:c r="M134" s="31" t="n">
        <x:f>'Rules'!$B$8+'Rules'!$B$9*('XP events'!J51-1)</x:f>
        <x:v>90</x:v>
      </x:c>
      <x:c r="N134" s="31" t="n">
        <x:f>IF(AND(ISNUMBER(H134),ISNUMBER(J134),ISNUMBER(L134),ISNUMBER(M134)),MIN(M134,H134-J134+L134),"")</x:f>
        <x:v>55</x:v>
      </x:c>
      <x:c r="O134" s="31" t="n">
        <x:v>55</x:v>
      </x:c>
      <x:c r="P134" s="31" t="n">
        <x:f>IF(AND(ISNUMBER(O134),ISNUMBER(N134)),N134-O134,"")</x:f>
        <x:v>0</x:v>
      </x:c>
      <x:c r="Q134" s="31" t="n">
        <x:f>IF(E134="cast",J134-INDEX('Rules'!$G$15:$G$23,MATCH(F134,'Rules'!$F$15:$F$23,0)),"")</x:f>
        <x:v>0</x:v>
      </x:c>
    </x:row>
    <x:row r="135" ht="22" customHeight="1">
      <x:c r="A135" s="17" t="str">
        <x:v>C15E06</x:v>
      </x:c>
      <x:c r="B135" s="51" t="n">
        <x:v>15</x:v>
      </x:c>
      <x:c r="C135" s="17" t="str">
        <x:v>Kip</x:v>
      </x:c>
      <x:c r="D135" s="17" t="str">
        <x:v>Day 3 10:16:30</x:v>
      </x:c>
      <x:c r="E135" s="17" t="str">
        <x:v>cast</x:v>
      </x:c>
      <x:c r="F135" s="17" t="str">
        <x:v>Sovereign Ward</x:v>
      </x:c>
      <x:c r="G135" s="42" t="n">
        <x:v>40</x:v>
      </x:c>
      <x:c r="H135" s="42" t="n">
        <x:f>N133</x:f>
        <x:v>40</x:v>
      </x:c>
      <x:c r="I135" s="42" t="n">
        <x:f>IF(AND(ISNUMBER(G135),ISNUMBER(H135)),H135-G135,"")</x:f>
        <x:v>0</x:v>
      </x:c>
      <x:c r="J135" s="42" t="n">
        <x:v>15</x:v>
      </x:c>
      <x:c r="K135" s="42" t="n">
        <x:v>0</x:v>
      </x:c>
      <x:c r="L135" s="42" t="n">
        <x:f>IF(AND(ISNUMBER(K135),ISNUMBER('Rules'!$B$10)),K135*'Rules'!$B$10,"")</x:f>
        <x:v>0</x:v>
      </x:c>
      <x:c r="M135" s="42" t="n">
        <x:f>'Rules'!$B$8+'Rules'!$B$9*('XP events'!J48-1)</x:f>
        <x:v>70</x:v>
      </x:c>
      <x:c r="N135" s="42" t="n">
        <x:f>IF(AND(ISNUMBER(H135),ISNUMBER(J135),ISNUMBER(L135),ISNUMBER(M135)),MIN(M135,H135-J135+L135),"")</x:f>
        <x:v>25</x:v>
      </x:c>
      <x:c r="O135" s="42" t="n">
        <x:v>25</x:v>
      </x:c>
      <x:c r="P135" s="42" t="n">
        <x:f>IF(AND(ISNUMBER(O135),ISNUMBER(N135)),N135-O135,"")</x:f>
        <x:v>0</x:v>
      </x:c>
      <x:c r="Q135" s="42" t="n">
        <x:f>IF(E135="cast",J135-INDEX('Rules'!$G$15:$G$23,MATCH(F135,'Rules'!$F$15:$F$23,0)),"")</x:f>
        <x:v>0</x:v>
      </x:c>
    </x:row>
    <x:row r="136" ht="22" customHeight="1">
      <x:c r="A136" s="2" t="str">
        <x:v>C15E07</x:v>
      </x:c>
      <x:c r="B136" s="50" t="n">
        <x:v>15</x:v>
      </x:c>
      <x:c r="C136" s="2" t="str">
        <x:v>Owen</x:v>
      </x:c>
      <x:c r="D136" s="2" t="str">
        <x:v>Day 3 10:20:00</x:v>
      </x:c>
      <x:c r="E136" s="2" t="str">
        <x:v>cast</x:v>
      </x:c>
      <x:c r="F136" s="2" t="str">
        <x:v>Mend</x:v>
      </x:c>
      <x:c r="G136" s="31" t="n">
        <x:v>90</x:v>
      </x:c>
      <x:c r="H136" s="31" t="n">
        <x:f>N128</x:f>
        <x:v>90</x:v>
      </x:c>
      <x:c r="I136" s="31" t="n">
        <x:f>IF(AND(ISNUMBER(G136),ISNUMBER(H136)),H136-G136,"")</x:f>
        <x:v>0</x:v>
      </x:c>
      <x:c r="J136" s="31" t="n">
        <x:v>20</x:v>
      </x:c>
      <x:c r="K136" s="31" t="n">
        <x:v>0</x:v>
      </x:c>
      <x:c r="L136" s="31" t="n">
        <x:f>IF(AND(ISNUMBER(K136),ISNUMBER('Rules'!$B$10)),K136*'Rules'!$B$10,"")</x:f>
        <x:v>0</x:v>
      </x:c>
      <x:c r="M136" s="31" t="n">
        <x:f>'Rules'!$B$8+'Rules'!$B$9*('XP events'!J50-1)</x:f>
        <x:v>90</x:v>
      </x:c>
      <x:c r="N136" s="31" t="n">
        <x:f>IF(AND(ISNUMBER(H136),ISNUMBER(J136),ISNUMBER(L136),ISNUMBER(M136)),MIN(M136,H136-J136+L136),"")</x:f>
        <x:v>70</x:v>
      </x:c>
      <x:c r="O136" s="31" t="n">
        <x:v>70</x:v>
      </x:c>
      <x:c r="P136" s="31" t="n">
        <x:f>IF(AND(ISNUMBER(O136),ISNUMBER(N136)),N136-O136,"")</x:f>
        <x:v>0</x:v>
      </x:c>
      <x:c r="Q136" s="31" t="n">
        <x:f>IF(E136="cast",J136-INDEX('Rules'!$G$15:$G$23,MATCH(F136,'Rules'!$F$15:$F$23,0)),"")</x:f>
        <x:v>0</x:v>
      </x:c>
    </x:row>
    <x:row r="137" ht="22" customHeight="1">
      <x:c r="A137" s="17" t="str">
        <x:v>C16E01</x:v>
      </x:c>
      <x:c r="B137" s="51" t="n">
        <x:v>16</x:v>
      </x:c>
      <x:c r="C137" s="17" t="str">
        <x:v>Kip</x:v>
      </x:c>
      <x:c r="D137" s="17" t="str">
        <x:v>Day 3 11:00:00</x:v>
      </x:c>
      <x:c r="E137" s="17" t="str">
        <x:v>rest</x:v>
      </x:c>
      <x:c r="F137" s="17"/>
      <x:c r="G137" s="42" t="n">
        <x:v>25</x:v>
      </x:c>
      <x:c r="H137" s="42" t="n">
        <x:f>N135</x:f>
        <x:v>25</x:v>
      </x:c>
      <x:c r="I137" s="42" t="n">
        <x:f>IF(AND(ISNUMBER(G137),ISNUMBER(H137)),H137-G137,"")</x:f>
        <x:v>0</x:v>
      </x:c>
      <x:c r="J137" s="42" t="n">
        <x:v>0</x:v>
      </x:c>
      <x:c r="K137" s="42" t="n">
        <x:v>9</x:v>
      </x:c>
      <x:c r="L137" s="42" t="n">
        <x:f>IF(AND(ISNUMBER(K137),ISNUMBER('Rules'!$B$10)),K137*'Rules'!$B$10,"")</x:f>
        <x:v>45</x:v>
      </x:c>
      <x:c r="M137" s="42" t="n">
        <x:f>'Rules'!$B$8+'Rules'!$B$9*('XP events'!J48-1)</x:f>
        <x:v>70</x:v>
      </x:c>
      <x:c r="N137" s="42" t="n">
        <x:f>IF(AND(ISNUMBER(H137),ISNUMBER(J137),ISNUMBER(L137),ISNUMBER(M137)),MIN(M137,H137-J137+L137),"")</x:f>
        <x:v>70</x:v>
      </x:c>
      <x:c r="O137" s="42" t="n">
        <x:v>70</x:v>
      </x:c>
      <x:c r="P137" s="42" t="n">
        <x:f>IF(AND(ISNUMBER(O137),ISNUMBER(N137)),N137-O137,"")</x:f>
        <x:v>0</x:v>
      </x:c>
      <x:c r="Q137" s="42" t="str">
        <x:f>IF(E137="cast",J137-INDEX('Rules'!$G$15:$G$23,MATCH(F137,'Rules'!$F$15:$F$23,0)),"")</x:f>
      </x:c>
    </x:row>
    <x:row r="138" ht="22" customHeight="1">
      <x:c r="A138" s="2" t="str">
        <x:v>C16E02</x:v>
      </x:c>
      <x:c r="B138" s="50" t="n">
        <x:v>16</x:v>
      </x:c>
      <x:c r="C138" s="2" t="str">
        <x:v>Tessa</x:v>
      </x:c>
      <x:c r="D138" s="2" t="str">
        <x:v>Day 3 11:00:00</x:v>
      </x:c>
      <x:c r="E138" s="2" t="str">
        <x:v>rest</x:v>
      </x:c>
      <x:c r="F138" s="2"/>
      <x:c r="G138" s="31" t="n">
        <x:v>70</x:v>
      </x:c>
      <x:c r="H138" s="31" t="n">
        <x:f>N130</x:f>
        <x:v>70</x:v>
      </x:c>
      <x:c r="I138" s="31" t="n">
        <x:f>IF(AND(ISNUMBER(G138),ISNUMBER(H138)),H138-G138,"")</x:f>
        <x:v>0</x:v>
      </x:c>
      <x:c r="J138" s="31" t="n">
        <x:v>0</x:v>
      </x:c>
      <x:c r="K138" s="31" t="n">
        <x:v>2</x:v>
      </x:c>
      <x:c r="L138" s="31" t="n">
        <x:f>IF(AND(ISNUMBER(K138),ISNUMBER('Rules'!$B$10)),K138*'Rules'!$B$10,"")</x:f>
        <x:v>10</x:v>
      </x:c>
      <x:c r="M138" s="31" t="n">
        <x:f>'Rules'!$B$8+'Rules'!$B$9*('XP events'!J49-1)</x:f>
        <x:v>80</x:v>
      </x:c>
      <x:c r="N138" s="31" t="n">
        <x:f>IF(AND(ISNUMBER(H138),ISNUMBER(J138),ISNUMBER(L138),ISNUMBER(M138)),MIN(M138,H138-J138+L138),"")</x:f>
        <x:v>80</x:v>
      </x:c>
      <x:c r="O138" s="31" t="n">
        <x:v>80</x:v>
      </x:c>
      <x:c r="P138" s="31" t="n">
        <x:f>IF(AND(ISNUMBER(O138),ISNUMBER(N138)),N138-O138,"")</x:f>
        <x:v>0</x:v>
      </x:c>
      <x:c r="Q138" s="31" t="str">
        <x:f>IF(E138="cast",J138-INDEX('Rules'!$G$15:$G$23,MATCH(F138,'Rules'!$F$15:$F$23,0)),"")</x:f>
      </x:c>
    </x:row>
    <x:row r="139" ht="22" customHeight="1">
      <x:c r="A139" s="17" t="str">
        <x:v>C16E03</x:v>
      </x:c>
      <x:c r="B139" s="51" t="n">
        <x:v>16</x:v>
      </x:c>
      <x:c r="C139" s="17" t="str">
        <x:v>Owen</x:v>
      </x:c>
      <x:c r="D139" s="17" t="str">
        <x:v>Day 3 11:00:00</x:v>
      </x:c>
      <x:c r="E139" s="17" t="str">
        <x:v>rest</x:v>
      </x:c>
      <x:c r="F139" s="17"/>
      <x:c r="G139" s="42" t="n">
        <x:v>70</x:v>
      </x:c>
      <x:c r="H139" s="42" t="n">
        <x:f>N136</x:f>
        <x:v>70</x:v>
      </x:c>
      <x:c r="I139" s="42" t="n">
        <x:f>IF(AND(ISNUMBER(G139),ISNUMBER(H139)),H139-G139,"")</x:f>
        <x:v>0</x:v>
      </x:c>
      <x:c r="J139" s="42" t="n">
        <x:v>0</x:v>
      </x:c>
      <x:c r="K139" s="42" t="n">
        <x:v>4</x:v>
      </x:c>
      <x:c r="L139" s="42" t="n">
        <x:f>IF(AND(ISNUMBER(K139),ISNUMBER('Rules'!$B$10)),K139*'Rules'!$B$10,"")</x:f>
        <x:v>20</x:v>
      </x:c>
      <x:c r="M139" s="42" t="n">
        <x:f>'Rules'!$B$8+'Rules'!$B$9*('XP events'!J50-1)</x:f>
        <x:v>90</x:v>
      </x:c>
      <x:c r="N139" s="42" t="n">
        <x:f>IF(AND(ISNUMBER(H139),ISNUMBER(J139),ISNUMBER(L139),ISNUMBER(M139)),MIN(M139,H139-J139+L139),"")</x:f>
        <x:v>90</x:v>
      </x:c>
      <x:c r="O139" s="42" t="n">
        <x:v>90</x:v>
      </x:c>
      <x:c r="P139" s="42" t="n">
        <x:f>IF(AND(ISNUMBER(O139),ISNUMBER(N139)),N139-O139,"")</x:f>
        <x:v>0</x:v>
      </x:c>
      <x:c r="Q139" s="42" t="str">
        <x:f>IF(E139="cast",J139-INDEX('Rules'!$G$15:$G$23,MATCH(F139,'Rules'!$F$15:$F$23,0)),"")</x:f>
      </x:c>
    </x:row>
    <x:row r="140" ht="22" customHeight="1">
      <x:c r="A140" s="2" t="str">
        <x:v>C16E04</x:v>
      </x:c>
      <x:c r="B140" s="50" t="n">
        <x:v>16</x:v>
      </x:c>
      <x:c r="C140" s="2" t="str">
        <x:v>Dane</x:v>
      </x:c>
      <x:c r="D140" s="2" t="str">
        <x:v>Day 3 11:00:00</x:v>
      </x:c>
      <x:c r="E140" s="2" t="str">
        <x:v>rest</x:v>
      </x:c>
      <x:c r="F140" s="2"/>
      <x:c r="G140" s="31" t="n">
        <x:v>55</x:v>
      </x:c>
      <x:c r="H140" s="31" t="n">
        <x:f>N134</x:f>
        <x:v>55</x:v>
      </x:c>
      <x:c r="I140" s="31" t="n">
        <x:f>IF(AND(ISNUMBER(G140),ISNUMBER(H140)),H140-G140,"")</x:f>
        <x:v>0</x:v>
      </x:c>
      <x:c r="J140" s="31" t="n">
        <x:v>0</x:v>
      </x:c>
      <x:c r="K140" s="31" t="n">
        <x:v>7</x:v>
      </x:c>
      <x:c r="L140" s="31" t="n">
        <x:f>IF(AND(ISNUMBER(K140),ISNUMBER('Rules'!$B$10)),K140*'Rules'!$B$10,"")</x:f>
        <x:v>35</x:v>
      </x:c>
      <x:c r="M140" s="31" t="n">
        <x:f>'Rules'!$B$8+'Rules'!$B$9*('XP events'!J51-1)</x:f>
        <x:v>90</x:v>
      </x:c>
      <x:c r="N140" s="31" t="n">
        <x:f>IF(AND(ISNUMBER(H140),ISNUMBER(J140),ISNUMBER(L140),ISNUMBER(M140)),MIN(M140,H140-J140+L140),"")</x:f>
        <x:v>90</x:v>
      </x:c>
      <x:c r="O140" s="31" t="n">
        <x:v>90</x:v>
      </x:c>
      <x:c r="P140" s="31" t="n">
        <x:f>IF(AND(ISNUMBER(O140),ISNUMBER(N140)),N140-O140,"")</x:f>
        <x:v>0</x:v>
      </x:c>
      <x:c r="Q140" s="31" t="str">
        <x:f>IF(E140="cast",J140-INDEX('Rules'!$G$15:$G$23,MATCH(F140,'Rules'!$F$15:$F$23,0)),"")</x:f>
      </x:c>
    </x:row>
    <x:row r="141" ht="22" customHeight="1">
      <x:c r="A141" s="17" t="str">
        <x:v>C16E05</x:v>
      </x:c>
      <x:c r="B141" s="51" t="n">
        <x:v>16</x:v>
      </x:c>
      <x:c r="C141" s="17" t="str">
        <x:v>Kip</x:v>
      </x:c>
      <x:c r="D141" s="17" t="str">
        <x:v>Day 3 11:30:00</x:v>
      </x:c>
      <x:c r="E141" s="17" t="str">
        <x:v>cast</x:v>
      </x:c>
      <x:c r="F141" s="17" t="str">
        <x:v>Sovereign Ward</x:v>
      </x:c>
      <x:c r="G141" s="42" t="n">
        <x:v>70</x:v>
      </x:c>
      <x:c r="H141" s="42" t="n">
        <x:f>N137</x:f>
        <x:v>70</x:v>
      </x:c>
      <x:c r="I141" s="42" t="n">
        <x:f>IF(AND(ISNUMBER(G141),ISNUMBER(H141)),H141-G141,"")</x:f>
        <x:v>0</x:v>
      </x:c>
      <x:c r="J141" s="42" t="n">
        <x:v>15</x:v>
      </x:c>
      <x:c r="K141" s="42" t="n">
        <x:v>0</x:v>
      </x:c>
      <x:c r="L141" s="42" t="n">
        <x:f>IF(AND(ISNUMBER(K141),ISNUMBER('Rules'!$B$10)),K141*'Rules'!$B$10,"")</x:f>
        <x:v>0</x:v>
      </x:c>
      <x:c r="M141" s="42" t="n">
        <x:f>'Rules'!$B$8+'Rules'!$B$9*('XP events'!J48-1)</x:f>
        <x:v>70</x:v>
      </x:c>
      <x:c r="N141" s="42" t="n">
        <x:f>IF(AND(ISNUMBER(H141),ISNUMBER(J141),ISNUMBER(L141),ISNUMBER(M141)),MIN(M141,H141-J141+L141),"")</x:f>
        <x:v>55</x:v>
      </x:c>
      <x:c r="O141" s="42" t="n">
        <x:v>55</x:v>
      </x:c>
      <x:c r="P141" s="42" t="n">
        <x:f>IF(AND(ISNUMBER(O141),ISNUMBER(N141)),N141-O141,"")</x:f>
        <x:v>0</x:v>
      </x:c>
      <x:c r="Q141" s="42" t="n">
        <x:f>IF(E141="cast",J141-INDEX('Rules'!$G$15:$G$23,MATCH(F141,'Rules'!$F$15:$F$23,0)),"")</x:f>
        <x:v>0</x:v>
      </x:c>
    </x:row>
    <x:row r="142" ht="22" customHeight="1">
      <x:c r="A142" s="2" t="str">
        <x:v>C16E06</x:v>
      </x:c>
      <x:c r="B142" s="50" t="n">
        <x:v>16</x:v>
      </x:c>
      <x:c r="C142" s="2" t="str">
        <x:v>Kip</x:v>
      </x:c>
      <x:c r="D142" s="2" t="str">
        <x:v>Day 3 11:55:00</x:v>
      </x:c>
      <x:c r="E142" s="2" t="str">
        <x:v>rest</x:v>
      </x:c>
      <x:c r="F142" s="2"/>
      <x:c r="G142" s="31" t="n">
        <x:v>55</x:v>
      </x:c>
      <x:c r="H142" s="31" t="n">
        <x:f>N141</x:f>
        <x:v>55</x:v>
      </x:c>
      <x:c r="I142" s="31" t="n">
        <x:f>IF(AND(ISNUMBER(G142),ISNUMBER(H142)),H142-G142,"")</x:f>
        <x:v>0</x:v>
      </x:c>
      <x:c r="J142" s="31" t="n">
        <x:v>0</x:v>
      </x:c>
      <x:c r="K142" s="31" t="n">
        <x:v>3</x:v>
      </x:c>
      <x:c r="L142" s="31" t="n">
        <x:f>IF(AND(ISNUMBER(K142),ISNUMBER('Rules'!$B$10)),K142*'Rules'!$B$10,"")</x:f>
        <x:v>15</x:v>
      </x:c>
      <x:c r="M142" s="31" t="n">
        <x:f>'Rules'!$B$8+'Rules'!$B$9*('XP events'!J48-1)</x:f>
        <x:v>70</x:v>
      </x:c>
      <x:c r="N142" s="31" t="n">
        <x:f>IF(AND(ISNUMBER(H142),ISNUMBER(J142),ISNUMBER(L142),ISNUMBER(M142)),MIN(M142,H142-J142+L142),"")</x:f>
        <x:v>70</x:v>
      </x:c>
      <x:c r="O142" s="31" t="n">
        <x:v>70</x:v>
      </x:c>
      <x:c r="P142" s="31" t="n">
        <x:f>IF(AND(ISNUMBER(O142),ISNUMBER(N142)),N142-O142,"")</x:f>
        <x:v>0</x:v>
      </x:c>
      <x:c r="Q142" s="31" t="str">
        <x:f>IF(E142="cast",J142-INDEX('Rules'!$G$15:$G$23,MATCH(F142,'Rules'!$F$15:$F$23,0)),"")</x:f>
      </x:c>
    </x:row>
    <x:row r="143" ht="22" customHeight="1">
      <x:c r="A143" s="17" t="str">
        <x:v>C17E01</x:v>
      </x:c>
      <x:c r="B143" s="51" t="n">
        <x:v>17</x:v>
      </x:c>
      <x:c r="C143" s="17" t="str">
        <x:v>Kip</x:v>
      </x:c>
      <x:c r="D143" s="17" t="str">
        <x:v>Day 4 06:20:00</x:v>
      </x:c>
      <x:c r="E143" s="17" t="str">
        <x:v>cast</x:v>
      </x:c>
      <x:c r="F143" s="17" t="str">
        <x:v>Sovereign Ward</x:v>
      </x:c>
      <x:c r="G143" s="42" t="n">
        <x:v>70</x:v>
      </x:c>
      <x:c r="H143" s="42" t="n">
        <x:f>N142</x:f>
        <x:v>70</x:v>
      </x:c>
      <x:c r="I143" s="42" t="n">
        <x:f>IF(AND(ISNUMBER(G143),ISNUMBER(H143)),H143-G143,"")</x:f>
        <x:v>0</x:v>
      </x:c>
      <x:c r="J143" s="42" t="n">
        <x:v>15</x:v>
      </x:c>
      <x:c r="K143" s="42" t="n">
        <x:v>0</x:v>
      </x:c>
      <x:c r="L143" s="42" t="n">
        <x:f>IF(AND(ISNUMBER(K143),ISNUMBER('Rules'!$B$10)),K143*'Rules'!$B$10,"")</x:f>
        <x:v>0</x:v>
      </x:c>
      <x:c r="M143" s="42" t="n">
        <x:f>'Rules'!$B$8+'Rules'!$B$9*('XP events'!J48-1)</x:f>
        <x:v>70</x:v>
      </x:c>
      <x:c r="N143" s="42" t="n">
        <x:f>IF(AND(ISNUMBER(H143),ISNUMBER(J143),ISNUMBER(L143),ISNUMBER(M143)),MIN(M143,H143-J143+L143),"")</x:f>
        <x:v>55</x:v>
      </x:c>
      <x:c r="O143" s="42" t="n">
        <x:v>55</x:v>
      </x:c>
      <x:c r="P143" s="42" t="n">
        <x:f>IF(AND(ISNUMBER(O143),ISNUMBER(N143)),N143-O143,"")</x:f>
        <x:v>0</x:v>
      </x:c>
      <x:c r="Q143" s="42" t="n">
        <x:f>IF(E143="cast",J143-INDEX('Rules'!$G$15:$G$23,MATCH(F143,'Rules'!$F$15:$F$23,0)),"")</x:f>
        <x:v>0</x:v>
      </x:c>
    </x:row>
    <x:row r="144" ht="22" customHeight="1">
      <x:c r="A144" s="2" t="str">
        <x:v>C17E02</x:v>
      </x:c>
      <x:c r="B144" s="50" t="n">
        <x:v>17</x:v>
      </x:c>
      <x:c r="C144" s="2" t="str">
        <x:v>Tessa</x:v>
      </x:c>
      <x:c r="D144" s="2" t="str">
        <x:v>Day 4 06:20:10</x:v>
      </x:c>
      <x:c r="E144" s="2" t="str">
        <x:v>cast</x:v>
      </x:c>
      <x:c r="F144" s="2" t="str">
        <x:v>Trail Sight</x:v>
      </x:c>
      <x:c r="G144" s="31" t="n">
        <x:v>80</x:v>
      </x:c>
      <x:c r="H144" s="31" t="n">
        <x:f>N138</x:f>
        <x:v>80</x:v>
      </x:c>
      <x:c r="I144" s="31" t="n">
        <x:f>IF(AND(ISNUMBER(G144),ISNUMBER(H144)),H144-G144,"")</x:f>
        <x:v>0</x:v>
      </x:c>
      <x:c r="J144" s="31" t="n">
        <x:v>15</x:v>
      </x:c>
      <x:c r="K144" s="31" t="n">
        <x:v>0</x:v>
      </x:c>
      <x:c r="L144" s="31" t="n">
        <x:f>IF(AND(ISNUMBER(K144),ISNUMBER('Rules'!$B$10)),K144*'Rules'!$B$10,"")</x:f>
        <x:v>0</x:v>
      </x:c>
      <x:c r="M144" s="31" t="n">
        <x:f>'Rules'!$B$8+'Rules'!$B$9*('XP events'!J49-1)</x:f>
        <x:v>80</x:v>
      </x:c>
      <x:c r="N144" s="31" t="n">
        <x:f>IF(AND(ISNUMBER(H144),ISNUMBER(J144),ISNUMBER(L144),ISNUMBER(M144)),MIN(M144,H144-J144+L144),"")</x:f>
        <x:v>65</x:v>
      </x:c>
      <x:c r="O144" s="31" t="n">
        <x:v>65</x:v>
      </x:c>
      <x:c r="P144" s="31" t="n">
        <x:f>IF(AND(ISNUMBER(O144),ISNUMBER(N144)),N144-O144,"")</x:f>
        <x:v>0</x:v>
      </x:c>
      <x:c r="Q144" s="31" t="n">
        <x:f>IF(E144="cast",J144-INDEX('Rules'!$G$15:$G$23,MATCH(F144,'Rules'!$F$15:$F$23,0)),"")</x:f>
        <x:v>0</x:v>
      </x:c>
    </x:row>
    <x:row r="145" ht="22" customHeight="1">
      <x:c r="A145" s="17" t="str">
        <x:v>C17E03</x:v>
      </x:c>
      <x:c r="B145" s="51" t="n">
        <x:v>17</x:v>
      </x:c>
      <x:c r="C145" s="17" t="str">
        <x:v>Tessa</x:v>
      </x:c>
      <x:c r="D145" s="17" t="str">
        <x:v>Day 4 06:20:12</x:v>
      </x:c>
      <x:c r="E145" s="17" t="str">
        <x:v>cast</x:v>
      </x:c>
      <x:c r="F145" s="17" t="str">
        <x:v>Quickstep</x:v>
      </x:c>
      <x:c r="G145" s="42" t="n">
        <x:v>65</x:v>
      </x:c>
      <x:c r="H145" s="42" t="n">
        <x:f>N144</x:f>
        <x:v>65</x:v>
      </x:c>
      <x:c r="I145" s="42" t="n">
        <x:f>IF(AND(ISNUMBER(G145),ISNUMBER(H145)),H145-G145,"")</x:f>
        <x:v>0</x:v>
      </x:c>
      <x:c r="J145" s="42" t="n">
        <x:v>10</x:v>
      </x:c>
      <x:c r="K145" s="42" t="n">
        <x:v>0</x:v>
      </x:c>
      <x:c r="L145" s="42" t="n">
        <x:f>IF(AND(ISNUMBER(K145),ISNUMBER('Rules'!$B$10)),K145*'Rules'!$B$10,"")</x:f>
        <x:v>0</x:v>
      </x:c>
      <x:c r="M145" s="42" t="n">
        <x:f>'Rules'!$B$8+'Rules'!$B$9*('XP events'!J49-1)</x:f>
        <x:v>80</x:v>
      </x:c>
      <x:c r="N145" s="42" t="n">
        <x:f>IF(AND(ISNUMBER(H145),ISNUMBER(J145),ISNUMBER(L145),ISNUMBER(M145)),MIN(M145,H145-J145+L145),"")</x:f>
        <x:v>55</x:v>
      </x:c>
      <x:c r="O145" s="42" t="n">
        <x:v>55</x:v>
      </x:c>
      <x:c r="P145" s="42" t="n">
        <x:f>IF(AND(ISNUMBER(O145),ISNUMBER(N145)),N145-O145,"")</x:f>
        <x:v>0</x:v>
      </x:c>
      <x:c r="Q145" s="42" t="n">
        <x:f>IF(E145="cast",J145-INDEX('Rules'!$G$15:$G$23,MATCH(F145,'Rules'!$F$15:$F$23,0)),"")</x:f>
        <x:v>0</x:v>
      </x:c>
    </x:row>
    <x:row r="146" ht="22" customHeight="1">
      <x:c r="A146" s="2" t="str">
        <x:v>C17E04</x:v>
      </x:c>
      <x:c r="B146" s="50" t="n">
        <x:v>17</x:v>
      </x:c>
      <x:c r="C146" s="2" t="str">
        <x:v>Dane</x:v>
      </x:c>
      <x:c r="D146" s="2" t="str">
        <x:v>Day 4 06:20:15</x:v>
      </x:c>
      <x:c r="E146" s="2" t="str">
        <x:v>cast</x:v>
      </x:c>
      <x:c r="F146" s="2" t="str">
        <x:v>Bulwark</x:v>
      </x:c>
      <x:c r="G146" s="31" t="n">
        <x:v>90</x:v>
      </x:c>
      <x:c r="H146" s="31" t="n">
        <x:f>N140</x:f>
        <x:v>90</x:v>
      </x:c>
      <x:c r="I146" s="31" t="n">
        <x:f>IF(AND(ISNUMBER(G146),ISNUMBER(H146)),H146-G146,"")</x:f>
        <x:v>0</x:v>
      </x:c>
      <x:c r="J146" s="31" t="n">
        <x:v>20</x:v>
      </x:c>
      <x:c r="K146" s="31" t="n">
        <x:v>0</x:v>
      </x:c>
      <x:c r="L146" s="31" t="n">
        <x:f>IF(AND(ISNUMBER(K146),ISNUMBER('Rules'!$B$10)),K146*'Rules'!$B$10,"")</x:f>
        <x:v>0</x:v>
      </x:c>
      <x:c r="M146" s="31" t="n">
        <x:f>'Rules'!$B$8+'Rules'!$B$9*('XP events'!J51-1)</x:f>
        <x:v>90</x:v>
      </x:c>
      <x:c r="N146" s="31" t="n">
        <x:f>IF(AND(ISNUMBER(H146),ISNUMBER(J146),ISNUMBER(L146),ISNUMBER(M146)),MIN(M146,H146-J146+L146),"")</x:f>
        <x:v>70</x:v>
      </x:c>
      <x:c r="O146" s="31" t="n">
        <x:v>70</x:v>
      </x:c>
      <x:c r="P146" s="31" t="n">
        <x:f>IF(AND(ISNUMBER(O146),ISNUMBER(N146)),N146-O146,"")</x:f>
        <x:v>0</x:v>
      </x:c>
      <x:c r="Q146" s="31" t="n">
        <x:f>IF(E146="cast",J146-INDEX('Rules'!$G$15:$G$23,MATCH(F146,'Rules'!$F$15:$F$23,0)),"")</x:f>
        <x:v>0</x:v>
      </x:c>
    </x:row>
    <x:row r="147" ht="22" customHeight="1">
      <x:c r="A147" s="17" t="str">
        <x:v>C17E05</x:v>
      </x:c>
      <x:c r="B147" s="51" t="n">
        <x:v>17</x:v>
      </x:c>
      <x:c r="C147" s="17" t="str">
        <x:v>Kip</x:v>
      </x:c>
      <x:c r="D147" s="17" t="str">
        <x:v>Day 4 06:20:20</x:v>
      </x:c>
      <x:c r="E147" s="17" t="str">
        <x:v>cast</x:v>
      </x:c>
      <x:c r="F147" s="17" t="str">
        <x:v>Override</x:v>
      </x:c>
      <x:c r="G147" s="42" t="n">
        <x:v>55</x:v>
      </x:c>
      <x:c r="H147" s="42" t="n">
        <x:f>N143</x:f>
        <x:v>55</x:v>
      </x:c>
      <x:c r="I147" s="42" t="n">
        <x:f>IF(AND(ISNUMBER(G147),ISNUMBER(H147)),H147-G147,"")</x:f>
        <x:v>0</x:v>
      </x:c>
      <x:c r="J147" s="42" t="n">
        <x:v>10</x:v>
      </x:c>
      <x:c r="K147" s="42" t="n">
        <x:v>0</x:v>
      </x:c>
      <x:c r="L147" s="42" t="n">
        <x:f>IF(AND(ISNUMBER(K147),ISNUMBER('Rules'!$B$10)),K147*'Rules'!$B$10,"")</x:f>
        <x:v>0</x:v>
      </x:c>
      <x:c r="M147" s="42" t="n">
        <x:f>'Rules'!$B$8+'Rules'!$B$9*('XP events'!J48-1)</x:f>
        <x:v>70</x:v>
      </x:c>
      <x:c r="N147" s="42" t="n">
        <x:f>IF(AND(ISNUMBER(H147),ISNUMBER(J147),ISNUMBER(L147),ISNUMBER(M147)),MIN(M147,H147-J147+L147),"")</x:f>
        <x:v>45</x:v>
      </x:c>
      <x:c r="O147" s="42" t="n">
        <x:v>45</x:v>
      </x:c>
      <x:c r="P147" s="42" t="n">
        <x:f>IF(AND(ISNUMBER(O147),ISNUMBER(N147)),N147-O147,"")</x:f>
        <x:v>0</x:v>
      </x:c>
      <x:c r="Q147" s="42" t="n">
        <x:f>IF(E147="cast",J147-INDEX('Rules'!$G$15:$G$23,MATCH(F147,'Rules'!$F$15:$F$23,0)),"")</x:f>
        <x:v>0</x:v>
      </x:c>
    </x:row>
    <x:row r="148" ht="22" customHeight="1">
      <x:c r="A148" s="2" t="str">
        <x:v>C17E06</x:v>
      </x:c>
      <x:c r="B148" s="50" t="n">
        <x:v>17</x:v>
      </x:c>
      <x:c r="C148" s="2" t="str">
        <x:v>Dane</x:v>
      </x:c>
      <x:c r="D148" s="2" t="str">
        <x:v>Day 4 06:21:05</x:v>
      </x:c>
      <x:c r="E148" s="2" t="str">
        <x:v>cast</x:v>
      </x:c>
      <x:c r="F148" s="2" t="str">
        <x:v>Bulwark</x:v>
      </x:c>
      <x:c r="G148" s="31" t="n">
        <x:v>70</x:v>
      </x:c>
      <x:c r="H148" s="31" t="n">
        <x:f>N146</x:f>
        <x:v>70</x:v>
      </x:c>
      <x:c r="I148" s="31" t="n">
        <x:f>IF(AND(ISNUMBER(G148),ISNUMBER(H148)),H148-G148,"")</x:f>
        <x:v>0</x:v>
      </x:c>
      <x:c r="J148" s="31" t="n">
        <x:v>20</x:v>
      </x:c>
      <x:c r="K148" s="31" t="n">
        <x:v>0</x:v>
      </x:c>
      <x:c r="L148" s="31" t="n">
        <x:f>IF(AND(ISNUMBER(K148),ISNUMBER('Rules'!$B$10)),K148*'Rules'!$B$10,"")</x:f>
        <x:v>0</x:v>
      </x:c>
      <x:c r="M148" s="31" t="n">
        <x:f>'Rules'!$B$8+'Rules'!$B$9*('XP events'!J51-1)</x:f>
        <x:v>90</x:v>
      </x:c>
      <x:c r="N148" s="31" t="n">
        <x:f>IF(AND(ISNUMBER(H148),ISNUMBER(J148),ISNUMBER(L148),ISNUMBER(M148)),MIN(M148,H148-J148+L148),"")</x:f>
        <x:v>50</x:v>
      </x:c>
      <x:c r="O148" s="31" t="n">
        <x:v>50</x:v>
      </x:c>
      <x:c r="P148" s="31" t="n">
        <x:f>IF(AND(ISNUMBER(O148),ISNUMBER(N148)),N148-O148,"")</x:f>
        <x:v>0</x:v>
      </x:c>
      <x:c r="Q148" s="31" t="n">
        <x:f>IF(E148="cast",J148-INDEX('Rules'!$G$15:$G$23,MATCH(F148,'Rules'!$F$15:$F$23,0)),"")</x:f>
        <x:v>0</x:v>
      </x:c>
    </x:row>
    <x:row r="149" ht="22" customHeight="1">
      <x:c r="A149" s="17" t="str">
        <x:v>C17E07</x:v>
      </x:c>
      <x:c r="B149" s="51" t="n">
        <x:v>17</x:v>
      </x:c>
      <x:c r="C149" s="17" t="str">
        <x:v>Kip</x:v>
      </x:c>
      <x:c r="D149" s="17" t="str">
        <x:v>Day 4 06:21:10</x:v>
      </x:c>
      <x:c r="E149" s="17" t="str">
        <x:v>cast</x:v>
      </x:c>
      <x:c r="F149" s="17" t="str">
        <x:v>Override</x:v>
      </x:c>
      <x:c r="G149" s="42" t="n">
        <x:v>45</x:v>
      </x:c>
      <x:c r="H149" s="42" t="n">
        <x:f>N147</x:f>
        <x:v>45</x:v>
      </x:c>
      <x:c r="I149" s="42" t="n">
        <x:f>IF(AND(ISNUMBER(G149),ISNUMBER(H149)),H149-G149,"")</x:f>
        <x:v>0</x:v>
      </x:c>
      <x:c r="J149" s="42" t="n">
        <x:v>10</x:v>
      </x:c>
      <x:c r="K149" s="42" t="n">
        <x:v>0</x:v>
      </x:c>
      <x:c r="L149" s="42" t="n">
        <x:f>IF(AND(ISNUMBER(K149),ISNUMBER('Rules'!$B$10)),K149*'Rules'!$B$10,"")</x:f>
        <x:v>0</x:v>
      </x:c>
      <x:c r="M149" s="42" t="n">
        <x:f>'Rules'!$B$8+'Rules'!$B$9*('XP events'!J48-1)</x:f>
        <x:v>70</x:v>
      </x:c>
      <x:c r="N149" s="42" t="n">
        <x:f>IF(AND(ISNUMBER(H149),ISNUMBER(J149),ISNUMBER(L149),ISNUMBER(M149)),MIN(M149,H149-J149+L149),"")</x:f>
        <x:v>35</x:v>
      </x:c>
      <x:c r="O149" s="42" t="n">
        <x:v>35</x:v>
      </x:c>
      <x:c r="P149" s="42" t="n">
        <x:f>IF(AND(ISNUMBER(O149),ISNUMBER(N149)),N149-O149,"")</x:f>
        <x:v>0</x:v>
      </x:c>
      <x:c r="Q149" s="42" t="n">
        <x:f>IF(E149="cast",J149-INDEX('Rules'!$G$15:$G$23,MATCH(F149,'Rules'!$F$15:$F$23,0)),"")</x:f>
        <x:v>0</x:v>
      </x:c>
    </x:row>
    <x:row r="150" ht="22" customHeight="1">
      <x:c r="A150" s="2" t="str">
        <x:v>C17E09</x:v>
      </x:c>
      <x:c r="B150" s="50" t="n">
        <x:v>17</x:v>
      </x:c>
      <x:c r="C150" s="2" t="str">
        <x:v>Kip</x:v>
      </x:c>
      <x:c r="D150" s="2" t="str">
        <x:v>Day 4 06:40:00</x:v>
      </x:c>
      <x:c r="E150" s="2" t="str">
        <x:v>cast</x:v>
      </x:c>
      <x:c r="F150" s="2" t="str">
        <x:v>Claim Room</x:v>
      </x:c>
      <x:c r="G150" s="31" t="n">
        <x:v>35</x:v>
      </x:c>
      <x:c r="H150" s="31" t="n">
        <x:f>N149</x:f>
        <x:v>35</x:v>
      </x:c>
      <x:c r="I150" s="31" t="n">
        <x:f>IF(AND(ISNUMBER(G150),ISNUMBER(H150)),H150-G150,"")</x:f>
        <x:v>0</x:v>
      </x:c>
      <x:c r="J150" s="31" t="n">
        <x:v>20</x:v>
      </x:c>
      <x:c r="K150" s="31" t="n">
        <x:v>0</x:v>
      </x:c>
      <x:c r="L150" s="31" t="n">
        <x:f>IF(AND(ISNUMBER(K150),ISNUMBER('Rules'!$B$10)),K150*'Rules'!$B$10,"")</x:f>
        <x:v>0</x:v>
      </x:c>
      <x:c r="M150" s="31" t="n">
        <x:f>'Rules'!$B$8+'Rules'!$B$9*('XP events'!J52-1)</x:f>
        <x:v>75</x:v>
      </x:c>
      <x:c r="N150" s="31" t="n">
        <x:f>IF(AND(ISNUMBER(H150),ISNUMBER(J150),ISNUMBER(L150),ISNUMBER(M150)),MIN(M150,H150-J150+L150),"")</x:f>
        <x:v>15</x:v>
      </x:c>
      <x:c r="O150" s="31" t="n">
        <x:v>15</x:v>
      </x:c>
      <x:c r="P150" s="31" t="n">
        <x:f>IF(AND(ISNUMBER(O150),ISNUMBER(N150)),N150-O150,"")</x:f>
        <x:v>0</x:v>
      </x:c>
      <x:c r="Q150" s="31" t="n">
        <x:f>IF(E150="cast",J150-INDEX('Rules'!$G$15:$G$23,MATCH(F150,'Rules'!$F$15:$F$23,0)),"")</x:f>
        <x:v>0</x:v>
      </x:c>
    </x:row>
    <x:row r="151" ht="22" customHeight="1">
      <x:c r="A151" s="17" t="str">
        <x:v>C17E10</x:v>
      </x:c>
      <x:c r="B151" s="51" t="n">
        <x:v>17</x:v>
      </x:c>
      <x:c r="C151" s="17" t="str">
        <x:v>Kip</x:v>
      </x:c>
      <x:c r="D151" s="17" t="str">
        <x:v>Day 4 07:00:00</x:v>
      </x:c>
      <x:c r="E151" s="17" t="str">
        <x:v>rest</x:v>
      </x:c>
      <x:c r="F151" s="17"/>
      <x:c r="G151" s="42" t="n">
        <x:v>15</x:v>
      </x:c>
      <x:c r="H151" s="42" t="n">
        <x:f>N150</x:f>
        <x:v>15</x:v>
      </x:c>
      <x:c r="I151" s="42" t="n">
        <x:f>IF(AND(ISNUMBER(G151),ISNUMBER(H151)),H151-G151,"")</x:f>
        <x:v>0</x:v>
      </x:c>
      <x:c r="J151" s="42" t="n">
        <x:v>0</x:v>
      </x:c>
      <x:c r="K151" s="42" t="n">
        <x:v>12</x:v>
      </x:c>
      <x:c r="L151" s="42" t="n">
        <x:f>IF(AND(ISNUMBER(K151),ISNUMBER('Rules'!$B$10)),K151*'Rules'!$B$10,"")</x:f>
        <x:v>60</x:v>
      </x:c>
      <x:c r="M151" s="42" t="n">
        <x:f>'Rules'!$B$8+'Rules'!$B$9*('XP events'!J52-1)</x:f>
        <x:v>75</x:v>
      </x:c>
      <x:c r="N151" s="42" t="n">
        <x:f>IF(AND(ISNUMBER(H151),ISNUMBER(J151),ISNUMBER(L151),ISNUMBER(M151)),MIN(M151,H151-J151+L151),"")</x:f>
        <x:v>75</x:v>
      </x:c>
      <x:c r="O151" s="42" t="n">
        <x:v>75</x:v>
      </x:c>
      <x:c r="P151" s="42" t="n">
        <x:f>IF(AND(ISNUMBER(O151),ISNUMBER(N151)),N151-O151,"")</x:f>
        <x:v>0</x:v>
      </x:c>
      <x:c r="Q151" s="42" t="str">
        <x:f>IF(E151="cast",J151-INDEX('Rules'!$G$15:$G$23,MATCH(F151,'Rules'!$F$15:$F$23,0)),"")</x:f>
      </x:c>
    </x:row>
    <x:row r="152" ht="22" customHeight="1">
      <x:c r="A152" s="2" t="str">
        <x:v>C17E11</x:v>
      </x:c>
      <x:c r="B152" s="50" t="n">
        <x:v>17</x:v>
      </x:c>
      <x:c r="C152" s="2" t="str">
        <x:v>Tessa</x:v>
      </x:c>
      <x:c r="D152" s="2" t="str">
        <x:v>Day 4 07:00:00</x:v>
      </x:c>
      <x:c r="E152" s="2" t="str">
        <x:v>rest</x:v>
      </x:c>
      <x:c r="F152" s="2"/>
      <x:c r="G152" s="31" t="n">
        <x:v>55</x:v>
      </x:c>
      <x:c r="H152" s="31" t="n">
        <x:f>N145</x:f>
        <x:v>55</x:v>
      </x:c>
      <x:c r="I152" s="31" t="n">
        <x:f>IF(AND(ISNUMBER(G152),ISNUMBER(H152)),H152-G152,"")</x:f>
        <x:v>0</x:v>
      </x:c>
      <x:c r="J152" s="31" t="n">
        <x:v>0</x:v>
      </x:c>
      <x:c r="K152" s="31" t="n">
        <x:v>5</x:v>
      </x:c>
      <x:c r="L152" s="31" t="n">
        <x:f>IF(AND(ISNUMBER(K152),ISNUMBER('Rules'!$B$10)),K152*'Rules'!$B$10,"")</x:f>
        <x:v>25</x:v>
      </x:c>
      <x:c r="M152" s="31" t="n">
        <x:f>'Rules'!$B$8+'Rules'!$B$9*('XP events'!J53-1)</x:f>
        <x:v>80</x:v>
      </x:c>
      <x:c r="N152" s="31" t="n">
        <x:f>IF(AND(ISNUMBER(H152),ISNUMBER(J152),ISNUMBER(L152),ISNUMBER(M152)),MIN(M152,H152-J152+L152),"")</x:f>
        <x:v>80</x:v>
      </x:c>
      <x:c r="O152" s="31" t="n">
        <x:v>80</x:v>
      </x:c>
      <x:c r="P152" s="31" t="n">
        <x:f>IF(AND(ISNUMBER(O152),ISNUMBER(N152)),N152-O152,"")</x:f>
        <x:v>0</x:v>
      </x:c>
      <x:c r="Q152" s="31" t="str">
        <x:f>IF(E152="cast",J152-INDEX('Rules'!$G$15:$G$23,MATCH(F152,'Rules'!$F$15:$F$23,0)),"")</x:f>
      </x:c>
    </x:row>
    <x:row r="153" ht="22" customHeight="1">
      <x:c r="A153" s="17" t="str">
        <x:v>C17E12</x:v>
      </x:c>
      <x:c r="B153" s="51" t="n">
        <x:v>17</x:v>
      </x:c>
      <x:c r="C153" s="17" t="str">
        <x:v>Owen</x:v>
      </x:c>
      <x:c r="D153" s="17" t="str">
        <x:v>Day 4 07:00:00</x:v>
      </x:c>
      <x:c r="E153" s="17" t="str">
        <x:v>rest</x:v>
      </x:c>
      <x:c r="F153" s="17"/>
      <x:c r="G153" s="42" t="n">
        <x:v>90</x:v>
      </x:c>
      <x:c r="H153" s="42" t="n">
        <x:f>N139</x:f>
        <x:v>90</x:v>
      </x:c>
      <x:c r="I153" s="42" t="n">
        <x:f>IF(AND(ISNUMBER(G153),ISNUMBER(H153)),H153-G153,"")</x:f>
        <x:v>0</x:v>
      </x:c>
      <x:c r="J153" s="42" t="n">
        <x:v>0</x:v>
      </x:c>
      <x:c r="K153" s="42" t="n">
        <x:v>1</x:v>
      </x:c>
      <x:c r="L153" s="42" t="n">
        <x:f>IF(AND(ISNUMBER(K153),ISNUMBER('Rules'!$B$10)),K153*'Rules'!$B$10,"")</x:f>
        <x:v>5</x:v>
      </x:c>
      <x:c r="M153" s="42" t="n">
        <x:f>'Rules'!$B$8+'Rules'!$B$9*('XP events'!J54-1)</x:f>
        <x:v>95</x:v>
      </x:c>
      <x:c r="N153" s="42" t="n">
        <x:f>IF(AND(ISNUMBER(H153),ISNUMBER(J153),ISNUMBER(L153),ISNUMBER(M153)),MIN(M153,H153-J153+L153),"")</x:f>
        <x:v>95</x:v>
      </x:c>
      <x:c r="O153" s="42" t="n">
        <x:v>95</x:v>
      </x:c>
      <x:c r="P153" s="42" t="n">
        <x:f>IF(AND(ISNUMBER(O153),ISNUMBER(N153)),N153-O153,"")</x:f>
        <x:v>0</x:v>
      </x:c>
      <x:c r="Q153" s="42" t="str">
        <x:f>IF(E153="cast",J153-INDEX('Rules'!$G$15:$G$23,MATCH(F153,'Rules'!$F$15:$F$23,0)),"")</x:f>
      </x:c>
    </x:row>
    <x:row r="154" ht="22" customHeight="1">
      <x:c r="A154" s="2" t="str">
        <x:v>C17E13</x:v>
      </x:c>
      <x:c r="B154" s="50" t="n">
        <x:v>17</x:v>
      </x:c>
      <x:c r="C154" s="2" t="str">
        <x:v>Dane</x:v>
      </x:c>
      <x:c r="D154" s="2" t="str">
        <x:v>Day 4 07:00:00</x:v>
      </x:c>
      <x:c r="E154" s="2" t="str">
        <x:v>rest</x:v>
      </x:c>
      <x:c r="F154" s="2"/>
      <x:c r="G154" s="31" t="n">
        <x:v>50</x:v>
      </x:c>
      <x:c r="H154" s="31" t="n">
        <x:f>N148</x:f>
        <x:v>50</x:v>
      </x:c>
      <x:c r="I154" s="31" t="n">
        <x:f>IF(AND(ISNUMBER(G154),ISNUMBER(H154)),H154-G154,"")</x:f>
        <x:v>0</x:v>
      </x:c>
      <x:c r="J154" s="31" t="n">
        <x:v>0</x:v>
      </x:c>
      <x:c r="K154" s="31" t="n">
        <x:v>9</x:v>
      </x:c>
      <x:c r="L154" s="31" t="n">
        <x:f>IF(AND(ISNUMBER(K154),ISNUMBER('Rules'!$B$10)),K154*'Rules'!$B$10,"")</x:f>
        <x:v>45</x:v>
      </x:c>
      <x:c r="M154" s="31" t="n">
        <x:f>'Rules'!$B$8+'Rules'!$B$9*('XP events'!J55-1)</x:f>
        <x:v>95</x:v>
      </x:c>
      <x:c r="N154" s="31" t="n">
        <x:f>IF(AND(ISNUMBER(H154),ISNUMBER(J154),ISNUMBER(L154),ISNUMBER(M154)),MIN(M154,H154-J154+L154),"")</x:f>
        <x:v>95</x:v>
      </x:c>
      <x:c r="O154" s="31" t="n">
        <x:v>95</x:v>
      </x:c>
      <x:c r="P154" s="31" t="n">
        <x:f>IF(AND(ISNUMBER(O154),ISNUMBER(N154)),N154-O154,"")</x:f>
        <x:v>0</x:v>
      </x:c>
      <x:c r="Q154" s="31" t="str">
        <x:f>IF(E154="cast",J154-INDEX('Rules'!$G$15:$G$23,MATCH(F154,'Rules'!$F$15:$F$23,0)),"")</x:f>
      </x:c>
    </x:row>
    <x:row r="155" ht="22" customHeight="1">
      <x:c r="A155" s="17" t="str">
        <x:v>C18E01</x:v>
      </x:c>
      <x:c r="B155" s="51" t="n">
        <x:v>18</x:v>
      </x:c>
      <x:c r="C155" s="17" t="str">
        <x:v>Tessa</x:v>
      </x:c>
      <x:c r="D155" s="17" t="str">
        <x:v>Day 4 08:10:00</x:v>
      </x:c>
      <x:c r="E155" s="17" t="str">
        <x:v>cast</x:v>
      </x:c>
      <x:c r="F155" s="17" t="str">
        <x:v>Quickstep</x:v>
      </x:c>
      <x:c r="G155" s="42" t="n">
        <x:v>80</x:v>
      </x:c>
      <x:c r="H155" s="42" t="n">
        <x:f>N152</x:f>
        <x:v>80</x:v>
      </x:c>
      <x:c r="I155" s="42" t="n">
        <x:f>IF(AND(ISNUMBER(G155),ISNUMBER(H155)),H155-G155,"")</x:f>
        <x:v>0</x:v>
      </x:c>
      <x:c r="J155" s="42" t="n">
        <x:v>10</x:v>
      </x:c>
      <x:c r="K155" s="42" t="n">
        <x:v>0</x:v>
      </x:c>
      <x:c r="L155" s="42" t="n">
        <x:f>IF(AND(ISNUMBER(K155),ISNUMBER('Rules'!$B$10)),K155*'Rules'!$B$10,"")</x:f>
        <x:v>0</x:v>
      </x:c>
      <x:c r="M155" s="42" t="n">
        <x:f>'Rules'!$B$8+'Rules'!$B$9*('XP events'!J53-1)</x:f>
        <x:v>80</x:v>
      </x:c>
      <x:c r="N155" s="42" t="n">
        <x:f>IF(AND(ISNUMBER(H155),ISNUMBER(J155),ISNUMBER(L155),ISNUMBER(M155)),MIN(M155,H155-J155+L155),"")</x:f>
        <x:v>70</x:v>
      </x:c>
      <x:c r="O155" s="42" t="n">
        <x:v>70</x:v>
      </x:c>
      <x:c r="P155" s="42" t="n">
        <x:f>IF(AND(ISNUMBER(O155),ISNUMBER(N155)),N155-O155,"")</x:f>
        <x:v>0</x:v>
      </x:c>
      <x:c r="Q155" s="42" t="n">
        <x:f>IF(E155="cast",J155-INDEX('Rules'!$G$15:$G$23,MATCH(F155,'Rules'!$F$15:$F$23,0)),"")</x:f>
        <x:v>0</x:v>
      </x:c>
    </x:row>
    <x:row r="156" ht="22" customHeight="1">
      <x:c r="A156" s="2" t="str">
        <x:v>C18E02</x:v>
      </x:c>
      <x:c r="B156" s="50" t="n">
        <x:v>18</x:v>
      </x:c>
      <x:c r="C156" s="2" t="str">
        <x:v>Dane</x:v>
      </x:c>
      <x:c r="D156" s="2" t="str">
        <x:v>Day 4 08:10:02</x:v>
      </x:c>
      <x:c r="E156" s="2" t="str">
        <x:v>cast</x:v>
      </x:c>
      <x:c r="F156" s="2" t="str">
        <x:v>Interpose</x:v>
      </x:c>
      <x:c r="G156" s="31" t="n">
        <x:v>95</x:v>
      </x:c>
      <x:c r="H156" s="31" t="n">
        <x:f>N154</x:f>
        <x:v>95</x:v>
      </x:c>
      <x:c r="I156" s="31" t="n">
        <x:f>IF(AND(ISNUMBER(G156),ISNUMBER(H156)),H156-G156,"")</x:f>
        <x:v>0</x:v>
      </x:c>
      <x:c r="J156" s="31" t="n">
        <x:v>15</x:v>
      </x:c>
      <x:c r="K156" s="31" t="n">
        <x:v>0</x:v>
      </x:c>
      <x:c r="L156" s="31" t="n">
        <x:f>IF(AND(ISNUMBER(K156),ISNUMBER('Rules'!$B$10)),K156*'Rules'!$B$10,"")</x:f>
        <x:v>0</x:v>
      </x:c>
      <x:c r="M156" s="31" t="n">
        <x:f>'Rules'!$B$8+'Rules'!$B$9*('XP events'!J55-1)</x:f>
        <x:v>95</x:v>
      </x:c>
      <x:c r="N156" s="31" t="n">
        <x:f>IF(AND(ISNUMBER(H156),ISNUMBER(J156),ISNUMBER(L156),ISNUMBER(M156)),MIN(M156,H156-J156+L156),"")</x:f>
        <x:v>80</x:v>
      </x:c>
      <x:c r="O156" s="31" t="n">
        <x:v>80</x:v>
      </x:c>
      <x:c r="P156" s="31" t="n">
        <x:f>IF(AND(ISNUMBER(O156),ISNUMBER(N156)),N156-O156,"")</x:f>
        <x:v>0</x:v>
      </x:c>
      <x:c r="Q156" s="31" t="n">
        <x:f>IF(E156="cast",J156-INDEX('Rules'!$G$15:$G$23,MATCH(F156,'Rules'!$F$15:$F$23,0)),"")</x:f>
        <x:v>0</x:v>
      </x:c>
    </x:row>
    <x:row r="157" ht="22" customHeight="1">
      <x:c r="A157" s="17" t="str">
        <x:v>C18E03</x:v>
      </x:c>
      <x:c r="B157" s="51" t="n">
        <x:v>18</x:v>
      </x:c>
      <x:c r="C157" s="17" t="str">
        <x:v>Kip</x:v>
      </x:c>
      <x:c r="D157" s="17" t="str">
        <x:v>Day 4 08:10:05</x:v>
      </x:c>
      <x:c r="E157" s="17" t="str">
        <x:v>cast</x:v>
      </x:c>
      <x:c r="F157" s="17" t="str">
        <x:v>Sovereign Ward</x:v>
      </x:c>
      <x:c r="G157" s="42" t="n">
        <x:v>75</x:v>
      </x:c>
      <x:c r="H157" s="42" t="n">
        <x:f>N151</x:f>
        <x:v>75</x:v>
      </x:c>
      <x:c r="I157" s="42" t="n">
        <x:f>IF(AND(ISNUMBER(G157),ISNUMBER(H157)),H157-G157,"")</x:f>
        <x:v>0</x:v>
      </x:c>
      <x:c r="J157" s="42" t="n">
        <x:v>15</x:v>
      </x:c>
      <x:c r="K157" s="42" t="n">
        <x:v>0</x:v>
      </x:c>
      <x:c r="L157" s="42" t="n">
        <x:f>IF(AND(ISNUMBER(K157),ISNUMBER('Rules'!$B$10)),K157*'Rules'!$B$10,"")</x:f>
        <x:v>0</x:v>
      </x:c>
      <x:c r="M157" s="42" t="n">
        <x:f>'Rules'!$B$8+'Rules'!$B$9*('XP events'!J52-1)</x:f>
        <x:v>75</x:v>
      </x:c>
      <x:c r="N157" s="42" t="n">
        <x:f>IF(AND(ISNUMBER(H157),ISNUMBER(J157),ISNUMBER(L157),ISNUMBER(M157)),MIN(M157,H157-J157+L157),"")</x:f>
        <x:v>60</x:v>
      </x:c>
      <x:c r="O157" s="42" t="n">
        <x:v>60</x:v>
      </x:c>
      <x:c r="P157" s="42" t="n">
        <x:f>IF(AND(ISNUMBER(O157),ISNUMBER(N157)),N157-O157,"")</x:f>
        <x:v>0</x:v>
      </x:c>
      <x:c r="Q157" s="42" t="n">
        <x:f>IF(E157="cast",J157-INDEX('Rules'!$G$15:$G$23,MATCH(F157,'Rules'!$F$15:$F$23,0)),"")</x:f>
        <x:v>0</x:v>
      </x:c>
    </x:row>
    <x:row r="158" ht="22" customHeight="1">
      <x:c r="A158" s="2" t="str">
        <x:v>C18E04</x:v>
      </x:c>
      <x:c r="B158" s="50" t="n">
        <x:v>18</x:v>
      </x:c>
      <x:c r="C158" s="2" t="str">
        <x:v>Kip</x:v>
      </x:c>
      <x:c r="D158" s="2" t="str">
        <x:v>Day 4 08:10:10</x:v>
      </x:c>
      <x:c r="E158" s="2" t="str">
        <x:v>cast</x:v>
      </x:c>
      <x:c r="F158" s="2" t="str">
        <x:v>Override</x:v>
      </x:c>
      <x:c r="G158" s="31" t="n">
        <x:v>60</x:v>
      </x:c>
      <x:c r="H158" s="31" t="n">
        <x:f>N157</x:f>
        <x:v>60</x:v>
      </x:c>
      <x:c r="I158" s="31" t="n">
        <x:f>IF(AND(ISNUMBER(G158),ISNUMBER(H158)),H158-G158,"")</x:f>
        <x:v>0</x:v>
      </x:c>
      <x:c r="J158" s="31" t="n">
        <x:v>10</x:v>
      </x:c>
      <x:c r="K158" s="31" t="n">
        <x:v>0</x:v>
      </x:c>
      <x:c r="L158" s="31" t="n">
        <x:f>IF(AND(ISNUMBER(K158),ISNUMBER('Rules'!$B$10)),K158*'Rules'!$B$10,"")</x:f>
        <x:v>0</x:v>
      </x:c>
      <x:c r="M158" s="31" t="n">
        <x:f>'Rules'!$B$8+'Rules'!$B$9*('XP events'!J52-1)</x:f>
        <x:v>75</x:v>
      </x:c>
      <x:c r="N158" s="31" t="n">
        <x:f>IF(AND(ISNUMBER(H158),ISNUMBER(J158),ISNUMBER(L158),ISNUMBER(M158)),MIN(M158,H158-J158+L158),"")</x:f>
        <x:v>50</x:v>
      </x:c>
      <x:c r="O158" s="31" t="n">
        <x:v>50</x:v>
      </x:c>
      <x:c r="P158" s="31" t="n">
        <x:f>IF(AND(ISNUMBER(O158),ISNUMBER(N158)),N158-O158,"")</x:f>
        <x:v>0</x:v>
      </x:c>
      <x:c r="Q158" s="31" t="n">
        <x:f>IF(E158="cast",J158-INDEX('Rules'!$G$15:$G$23,MATCH(F158,'Rules'!$F$15:$F$23,0)),"")</x:f>
        <x:v>0</x:v>
      </x:c>
    </x:row>
    <x:row r="159" ht="22" customHeight="1">
      <x:c r="A159" s="17" t="str">
        <x:v>C18E05</x:v>
      </x:c>
      <x:c r="B159" s="51" t="n">
        <x:v>18</x:v>
      </x:c>
      <x:c r="C159" s="17" t="str">
        <x:v>Dane</x:v>
      </x:c>
      <x:c r="D159" s="17" t="str">
        <x:v>Day 4 08:11:00</x:v>
      </x:c>
      <x:c r="E159" s="17" t="str">
        <x:v>cast</x:v>
      </x:c>
      <x:c r="F159" s="17" t="str">
        <x:v>Bulwark</x:v>
      </x:c>
      <x:c r="G159" s="42" t="n">
        <x:v>80</x:v>
      </x:c>
      <x:c r="H159" s="42" t="n">
        <x:f>N156</x:f>
        <x:v>80</x:v>
      </x:c>
      <x:c r="I159" s="42" t="n">
        <x:f>IF(AND(ISNUMBER(G159),ISNUMBER(H159)),H159-G159,"")</x:f>
        <x:v>0</x:v>
      </x:c>
      <x:c r="J159" s="42" t="n">
        <x:v>20</x:v>
      </x:c>
      <x:c r="K159" s="42" t="n">
        <x:v>0</x:v>
      </x:c>
      <x:c r="L159" s="42" t="n">
        <x:f>IF(AND(ISNUMBER(K159),ISNUMBER('Rules'!$B$10)),K159*'Rules'!$B$10,"")</x:f>
        <x:v>0</x:v>
      </x:c>
      <x:c r="M159" s="42" t="n">
        <x:f>'Rules'!$B$8+'Rules'!$B$9*('XP events'!J55-1)</x:f>
        <x:v>95</x:v>
      </x:c>
      <x:c r="N159" s="42" t="n">
        <x:f>IF(AND(ISNUMBER(H159),ISNUMBER(J159),ISNUMBER(L159),ISNUMBER(M159)),MIN(M159,H159-J159+L159),"")</x:f>
        <x:v>60</x:v>
      </x:c>
      <x:c r="O159" s="42" t="n">
        <x:v>60</x:v>
      </x:c>
      <x:c r="P159" s="42" t="n">
        <x:f>IF(AND(ISNUMBER(O159),ISNUMBER(N159)),N159-O159,"")</x:f>
        <x:v>0</x:v>
      </x:c>
      <x:c r="Q159" s="42" t="n">
        <x:f>IF(E159="cast",J159-INDEX('Rules'!$G$15:$G$23,MATCH(F159,'Rules'!$F$15:$F$23,0)),"")</x:f>
        <x:v>0</x:v>
      </x:c>
    </x:row>
    <x:row r="160" ht="22" customHeight="1">
      <x:c r="A160" s="2" t="str">
        <x:v>C18E07</x:v>
      </x:c>
      <x:c r="B160" s="50" t="n">
        <x:v>18</x:v>
      </x:c>
      <x:c r="C160" s="2" t="str">
        <x:v>Kip</x:v>
      </x:c>
      <x:c r="D160" s="2" t="str">
        <x:v>Day 4 08:30:00</x:v>
      </x:c>
      <x:c r="E160" s="2" t="str">
        <x:v>rest</x:v>
      </x:c>
      <x:c r="F160" s="2"/>
      <x:c r="G160" s="31" t="n">
        <x:v>50</x:v>
      </x:c>
      <x:c r="H160" s="31" t="n">
        <x:f>N158</x:f>
        <x:v>50</x:v>
      </x:c>
      <x:c r="I160" s="31" t="n">
        <x:f>IF(AND(ISNUMBER(G160),ISNUMBER(H160)),H160-G160,"")</x:f>
        <x:v>0</x:v>
      </x:c>
      <x:c r="J160" s="31" t="n">
        <x:v>0</x:v>
      </x:c>
      <x:c r="K160" s="31" t="n">
        <x:v>5</x:v>
      </x:c>
      <x:c r="L160" s="31" t="n">
        <x:f>IF(AND(ISNUMBER(K160),ISNUMBER('Rules'!$B$10)),K160*'Rules'!$B$10,"")</x:f>
        <x:v>25</x:v>
      </x:c>
      <x:c r="M160" s="31" t="n">
        <x:f>'Rules'!$B$8+'Rules'!$B$9*('XP events'!J56-1)</x:f>
        <x:v>75</x:v>
      </x:c>
      <x:c r="N160" s="31" t="n">
        <x:f>IF(AND(ISNUMBER(H160),ISNUMBER(J160),ISNUMBER(L160),ISNUMBER(M160)),MIN(M160,H160-J160+L160),"")</x:f>
        <x:v>75</x:v>
      </x:c>
      <x:c r="O160" s="31" t="n">
        <x:v>75</x:v>
      </x:c>
      <x:c r="P160" s="31" t="n">
        <x:f>IF(AND(ISNUMBER(O160),ISNUMBER(N160)),N160-O160,"")</x:f>
        <x:v>0</x:v>
      </x:c>
      <x:c r="Q160" s="31" t="str">
        <x:f>IF(E160="cast",J160-INDEX('Rules'!$G$15:$G$23,MATCH(F160,'Rules'!$F$15:$F$23,0)),"")</x:f>
      </x:c>
    </x:row>
    <x:row r="161" ht="22" customHeight="1">
      <x:c r="A161" s="17" t="str">
        <x:v>C18E08</x:v>
      </x:c>
      <x:c r="B161" s="51" t="n">
        <x:v>18</x:v>
      </x:c>
      <x:c r="C161" s="17" t="str">
        <x:v>Tessa</x:v>
      </x:c>
      <x:c r="D161" s="17" t="str">
        <x:v>Day 4 08:30:00</x:v>
      </x:c>
      <x:c r="E161" s="17" t="str">
        <x:v>rest</x:v>
      </x:c>
      <x:c r="F161" s="17"/>
      <x:c r="G161" s="42" t="n">
        <x:v>70</x:v>
      </x:c>
      <x:c r="H161" s="42" t="n">
        <x:f>N155</x:f>
        <x:v>70</x:v>
      </x:c>
      <x:c r="I161" s="42" t="n">
        <x:f>IF(AND(ISNUMBER(G161),ISNUMBER(H161)),H161-G161,"")</x:f>
        <x:v>0</x:v>
      </x:c>
      <x:c r="J161" s="42" t="n">
        <x:v>0</x:v>
      </x:c>
      <x:c r="K161" s="42" t="n">
        <x:v>2</x:v>
      </x:c>
      <x:c r="L161" s="42" t="n">
        <x:f>IF(AND(ISNUMBER(K161),ISNUMBER('Rules'!$B$10)),K161*'Rules'!$B$10,"")</x:f>
        <x:v>10</x:v>
      </x:c>
      <x:c r="M161" s="42" t="n">
        <x:f>'Rules'!$B$8+'Rules'!$B$9*('XP events'!J57-1)</x:f>
        <x:v>80</x:v>
      </x:c>
      <x:c r="N161" s="42" t="n">
        <x:f>IF(AND(ISNUMBER(H161),ISNUMBER(J161),ISNUMBER(L161),ISNUMBER(M161)),MIN(M161,H161-J161+L161),"")</x:f>
        <x:v>80</x:v>
      </x:c>
      <x:c r="O161" s="42" t="n">
        <x:v>80</x:v>
      </x:c>
      <x:c r="P161" s="42" t="n">
        <x:f>IF(AND(ISNUMBER(O161),ISNUMBER(N161)),N161-O161,"")</x:f>
        <x:v>0</x:v>
      </x:c>
      <x:c r="Q161" s="42" t="str">
        <x:f>IF(E161="cast",J161-INDEX('Rules'!$G$15:$G$23,MATCH(F161,'Rules'!$F$15:$F$23,0)),"")</x:f>
      </x:c>
    </x:row>
    <x:row r="162" ht="22" customHeight="1">
      <x:c r="A162" s="2" t="str">
        <x:v>C18E09</x:v>
      </x:c>
      <x:c r="B162" s="50" t="n">
        <x:v>18</x:v>
      </x:c>
      <x:c r="C162" s="2" t="str">
        <x:v>Dane</x:v>
      </x:c>
      <x:c r="D162" s="2" t="str">
        <x:v>Day 4 08:30:00</x:v>
      </x:c>
      <x:c r="E162" s="2" t="str">
        <x:v>rest</x:v>
      </x:c>
      <x:c r="F162" s="2"/>
      <x:c r="G162" s="31" t="n">
        <x:v>60</x:v>
      </x:c>
      <x:c r="H162" s="31" t="n">
        <x:f>N159</x:f>
        <x:v>60</x:v>
      </x:c>
      <x:c r="I162" s="31" t="n">
        <x:f>IF(AND(ISNUMBER(G162),ISNUMBER(H162)),H162-G162,"")</x:f>
        <x:v>0</x:v>
      </x:c>
      <x:c r="J162" s="31" t="n">
        <x:v>0</x:v>
      </x:c>
      <x:c r="K162" s="31" t="n">
        <x:v>7</x:v>
      </x:c>
      <x:c r="L162" s="31" t="n">
        <x:f>IF(AND(ISNUMBER(K162),ISNUMBER('Rules'!$B$10)),K162*'Rules'!$B$10,"")</x:f>
        <x:v>35</x:v>
      </x:c>
      <x:c r="M162" s="31" t="n">
        <x:f>'Rules'!$B$8+'Rules'!$B$9*('XP events'!J59-1)</x:f>
        <x:v>95</x:v>
      </x:c>
      <x:c r="N162" s="31" t="n">
        <x:f>IF(AND(ISNUMBER(H162),ISNUMBER(J162),ISNUMBER(L162),ISNUMBER(M162)),MIN(M162,H162-J162+L162),"")</x:f>
        <x:v>95</x:v>
      </x:c>
      <x:c r="O162" s="31" t="n">
        <x:v>95</x:v>
      </x:c>
      <x:c r="P162" s="31" t="n">
        <x:f>IF(AND(ISNUMBER(O162),ISNUMBER(N162)),N162-O162,"")</x:f>
        <x:v>0</x:v>
      </x:c>
      <x:c r="Q162" s="31" t="str">
        <x:f>IF(E162="cast",J162-INDEX('Rules'!$G$15:$G$23,MATCH(F162,'Rules'!$F$15:$F$23,0)),"")</x:f>
      </x:c>
    </x:row>
    <x:row r="163" ht="22" customHeight="1">
      <x:c r="A163" s="17" t="str">
        <x:v>C19E01</x:v>
      </x:c>
      <x:c r="B163" s="51" t="n">
        <x:v>19</x:v>
      </x:c>
      <x:c r="C163" s="17" t="str">
        <x:v>Kip</x:v>
      </x:c>
      <x:c r="D163" s="17" t="str">
        <x:v>Day 4 09:00:00</x:v>
      </x:c>
      <x:c r="E163" s="17" t="str">
        <x:v>cast</x:v>
      </x:c>
      <x:c r="F163" s="17" t="str">
        <x:v>Sovereign Ward</x:v>
      </x:c>
      <x:c r="G163" s="42" t="n">
        <x:v>75</x:v>
      </x:c>
      <x:c r="H163" s="42" t="n">
        <x:f>N160</x:f>
        <x:v>75</x:v>
      </x:c>
      <x:c r="I163" s="42" t="n">
        <x:f>IF(AND(ISNUMBER(G163),ISNUMBER(H163)),H163-G163,"")</x:f>
        <x:v>0</x:v>
      </x:c>
      <x:c r="J163" s="42" t="n">
        <x:v>15</x:v>
      </x:c>
      <x:c r="K163" s="42" t="n">
        <x:v>0</x:v>
      </x:c>
      <x:c r="L163" s="42" t="n">
        <x:f>IF(AND(ISNUMBER(K163),ISNUMBER('Rules'!$B$10)),K163*'Rules'!$B$10,"")</x:f>
        <x:v>0</x:v>
      </x:c>
      <x:c r="M163" s="42" t="n">
        <x:f>'Rules'!$B$8+'Rules'!$B$9*('XP events'!J56-1)</x:f>
        <x:v>75</x:v>
      </x:c>
      <x:c r="N163" s="42" t="n">
        <x:f>IF(AND(ISNUMBER(H163),ISNUMBER(J163),ISNUMBER(L163),ISNUMBER(M163)),MIN(M163,H163-J163+L163),"")</x:f>
        <x:v>60</x:v>
      </x:c>
      <x:c r="O163" s="42" t="n">
        <x:v>60</x:v>
      </x:c>
      <x:c r="P163" s="42" t="n">
        <x:f>IF(AND(ISNUMBER(O163),ISNUMBER(N163)),N163-O163,"")</x:f>
        <x:v>0</x:v>
      </x:c>
      <x:c r="Q163" s="42" t="n">
        <x:f>IF(E163="cast",J163-INDEX('Rules'!$G$15:$G$23,MATCH(F163,'Rules'!$F$15:$F$23,0)),"")</x:f>
        <x:v>0</x:v>
      </x:c>
    </x:row>
    <x:row r="164" ht="22" customHeight="1">
      <x:c r="A164" s="2" t="str">
        <x:v>C19E02</x:v>
      </x:c>
      <x:c r="B164" s="50" t="n">
        <x:v>19</x:v>
      </x:c>
      <x:c r="C164" s="2" t="str">
        <x:v>Dane</x:v>
      </x:c>
      <x:c r="D164" s="2" t="str">
        <x:v>Day 4 09:00:01</x:v>
      </x:c>
      <x:c r="E164" s="2" t="str">
        <x:v>cast</x:v>
      </x:c>
      <x:c r="F164" s="2" t="str">
        <x:v>Interpose</x:v>
      </x:c>
      <x:c r="G164" s="31" t="n">
        <x:v>95</x:v>
      </x:c>
      <x:c r="H164" s="31" t="n">
        <x:f>N162</x:f>
        <x:v>95</x:v>
      </x:c>
      <x:c r="I164" s="31" t="n">
        <x:f>IF(AND(ISNUMBER(G164),ISNUMBER(H164)),H164-G164,"")</x:f>
        <x:v>0</x:v>
      </x:c>
      <x:c r="J164" s="31" t="n">
        <x:v>15</x:v>
      </x:c>
      <x:c r="K164" s="31" t="n">
        <x:v>0</x:v>
      </x:c>
      <x:c r="L164" s="31" t="n">
        <x:f>IF(AND(ISNUMBER(K164),ISNUMBER('Rules'!$B$10)),K164*'Rules'!$B$10,"")</x:f>
        <x:v>0</x:v>
      </x:c>
      <x:c r="M164" s="31" t="n">
        <x:f>'Rules'!$B$8+'Rules'!$B$9*('XP events'!J59-1)</x:f>
        <x:v>95</x:v>
      </x:c>
      <x:c r="N164" s="31" t="n">
        <x:f>IF(AND(ISNUMBER(H164),ISNUMBER(J164),ISNUMBER(L164),ISNUMBER(M164)),MIN(M164,H164-J164+L164),"")</x:f>
        <x:v>80</x:v>
      </x:c>
      <x:c r="O164" s="31" t="n">
        <x:v>80</x:v>
      </x:c>
      <x:c r="P164" s="31" t="n">
        <x:f>IF(AND(ISNUMBER(O164),ISNUMBER(N164)),N164-O164,"")</x:f>
        <x:v>0</x:v>
      </x:c>
      <x:c r="Q164" s="31" t="n">
        <x:f>IF(E164="cast",J164-INDEX('Rules'!$G$15:$G$23,MATCH(F164,'Rules'!$F$15:$F$23,0)),"")</x:f>
        <x:v>0</x:v>
      </x:c>
    </x:row>
    <x:row r="165" ht="22" customHeight="1">
      <x:c r="A165" s="17" t="str">
        <x:v>C19E03</x:v>
      </x:c>
      <x:c r="B165" s="51" t="n">
        <x:v>19</x:v>
      </x:c>
      <x:c r="C165" s="17" t="str">
        <x:v>Tessa</x:v>
      </x:c>
      <x:c r="D165" s="17" t="str">
        <x:v>Day 4 09:00:03</x:v>
      </x:c>
      <x:c r="E165" s="17" t="str">
        <x:v>cast</x:v>
      </x:c>
      <x:c r="F165" s="17" t="str">
        <x:v>Quickstep</x:v>
      </x:c>
      <x:c r="G165" s="42" t="n">
        <x:v>80</x:v>
      </x:c>
      <x:c r="H165" s="42" t="n">
        <x:f>N161</x:f>
        <x:v>80</x:v>
      </x:c>
      <x:c r="I165" s="42" t="n">
        <x:f>IF(AND(ISNUMBER(G165),ISNUMBER(H165)),H165-G165,"")</x:f>
        <x:v>0</x:v>
      </x:c>
      <x:c r="J165" s="42" t="n">
        <x:v>10</x:v>
      </x:c>
      <x:c r="K165" s="42" t="n">
        <x:v>0</x:v>
      </x:c>
      <x:c r="L165" s="42" t="n">
        <x:f>IF(AND(ISNUMBER(K165),ISNUMBER('Rules'!$B$10)),K165*'Rules'!$B$10,"")</x:f>
        <x:v>0</x:v>
      </x:c>
      <x:c r="M165" s="42" t="n">
        <x:f>'Rules'!$B$8+'Rules'!$B$9*('XP events'!J57-1)</x:f>
        <x:v>80</x:v>
      </x:c>
      <x:c r="N165" s="42" t="n">
        <x:f>IF(AND(ISNUMBER(H165),ISNUMBER(J165),ISNUMBER(L165),ISNUMBER(M165)),MIN(M165,H165-J165+L165),"")</x:f>
        <x:v>70</x:v>
      </x:c>
      <x:c r="O165" s="42" t="n">
        <x:v>70</x:v>
      </x:c>
      <x:c r="P165" s="42" t="n">
        <x:f>IF(AND(ISNUMBER(O165),ISNUMBER(N165)),N165-O165,"")</x:f>
        <x:v>0</x:v>
      </x:c>
      <x:c r="Q165" s="42" t="n">
        <x:f>IF(E165="cast",J165-INDEX('Rules'!$G$15:$G$23,MATCH(F165,'Rules'!$F$15:$F$23,0)),"")</x:f>
        <x:v>0</x:v>
      </x:c>
    </x:row>
    <x:row r="166" ht="22" customHeight="1">
      <x:c r="A166" s="2" t="str">
        <x:v>C19E04</x:v>
      </x:c>
      <x:c r="B166" s="50" t="n">
        <x:v>19</x:v>
      </x:c>
      <x:c r="C166" s="2" t="str">
        <x:v>Kip</x:v>
      </x:c>
      <x:c r="D166" s="2" t="str">
        <x:v>Day 4 09:00:05</x:v>
      </x:c>
      <x:c r="E166" s="2" t="str">
        <x:v>cast</x:v>
      </x:c>
      <x:c r="F166" s="2" t="str">
        <x:v>Override</x:v>
      </x:c>
      <x:c r="G166" s="31" t="n">
        <x:v>60</x:v>
      </x:c>
      <x:c r="H166" s="31" t="n">
        <x:f>N163</x:f>
        <x:v>60</x:v>
      </x:c>
      <x:c r="I166" s="31" t="n">
        <x:f>IF(AND(ISNUMBER(G166),ISNUMBER(H166)),H166-G166,"")</x:f>
        <x:v>0</x:v>
      </x:c>
      <x:c r="J166" s="31" t="n">
        <x:v>10</x:v>
      </x:c>
      <x:c r="K166" s="31" t="n">
        <x:v>0</x:v>
      </x:c>
      <x:c r="L166" s="31" t="n">
        <x:f>IF(AND(ISNUMBER(K166),ISNUMBER('Rules'!$B$10)),K166*'Rules'!$B$10,"")</x:f>
        <x:v>0</x:v>
      </x:c>
      <x:c r="M166" s="31" t="n">
        <x:f>'Rules'!$B$8+'Rules'!$B$9*('XP events'!J56-1)</x:f>
        <x:v>75</x:v>
      </x:c>
      <x:c r="N166" s="31" t="n">
        <x:f>IF(AND(ISNUMBER(H166),ISNUMBER(J166),ISNUMBER(L166),ISNUMBER(M166)),MIN(M166,H166-J166+L166),"")</x:f>
        <x:v>50</x:v>
      </x:c>
      <x:c r="O166" s="31" t="n">
        <x:v>50</x:v>
      </x:c>
      <x:c r="P166" s="31" t="n">
        <x:f>IF(AND(ISNUMBER(O166),ISNUMBER(N166)),N166-O166,"")</x:f>
        <x:v>0</x:v>
      </x:c>
      <x:c r="Q166" s="31" t="n">
        <x:f>IF(E166="cast",J166-INDEX('Rules'!$G$15:$G$23,MATCH(F166,'Rules'!$F$15:$F$23,0)),"")</x:f>
        <x:v>0</x:v>
      </x:c>
    </x:row>
    <x:row r="167" ht="22" customHeight="1">
      <x:c r="A167" s="17" t="str">
        <x:v>C19E05</x:v>
      </x:c>
      <x:c r="B167" s="51" t="n">
        <x:v>19</x:v>
      </x:c>
      <x:c r="C167" s="17" t="str">
        <x:v>Kip</x:v>
      </x:c>
      <x:c r="D167" s="17" t="str">
        <x:v>Day 4 09:00:10</x:v>
      </x:c>
      <x:c r="E167" s="17" t="str">
        <x:v>cast</x:v>
      </x:c>
      <x:c r="F167" s="17" t="str">
        <x:v>Override</x:v>
      </x:c>
      <x:c r="G167" s="42" t="n">
        <x:v>50</x:v>
      </x:c>
      <x:c r="H167" s="42" t="n">
        <x:f>N166</x:f>
        <x:v>50</x:v>
      </x:c>
      <x:c r="I167" s="42" t="n">
        <x:f>IF(AND(ISNUMBER(G167),ISNUMBER(H167)),H167-G167,"")</x:f>
        <x:v>0</x:v>
      </x:c>
      <x:c r="J167" s="42" t="n">
        <x:v>10</x:v>
      </x:c>
      <x:c r="K167" s="42" t="n">
        <x:v>0</x:v>
      </x:c>
      <x:c r="L167" s="42" t="n">
        <x:f>IF(AND(ISNUMBER(K167),ISNUMBER('Rules'!$B$10)),K167*'Rules'!$B$10,"")</x:f>
        <x:v>0</x:v>
      </x:c>
      <x:c r="M167" s="42" t="n">
        <x:f>'Rules'!$B$8+'Rules'!$B$9*('XP events'!J56-1)</x:f>
        <x:v>75</x:v>
      </x:c>
      <x:c r="N167" s="42" t="n">
        <x:f>IF(AND(ISNUMBER(H167),ISNUMBER(J167),ISNUMBER(L167),ISNUMBER(M167)),MIN(M167,H167-J167+L167),"")</x:f>
        <x:v>40</x:v>
      </x:c>
      <x:c r="O167" s="42" t="n">
        <x:v>40</x:v>
      </x:c>
      <x:c r="P167" s="42" t="n">
        <x:f>IF(AND(ISNUMBER(O167),ISNUMBER(N167)),N167-O167,"")</x:f>
        <x:v>0</x:v>
      </x:c>
      <x:c r="Q167" s="42" t="n">
        <x:f>IF(E167="cast",J167-INDEX('Rules'!$G$15:$G$23,MATCH(F167,'Rules'!$F$15:$F$23,0)),"")</x:f>
        <x:v>0</x:v>
      </x:c>
    </x:row>
    <x:row r="168" ht="22" customHeight="1">
      <x:c r="A168" s="2" t="str">
        <x:v>C19E06</x:v>
      </x:c>
      <x:c r="B168" s="50" t="n">
        <x:v>19</x:v>
      </x:c>
      <x:c r="C168" s="2" t="str">
        <x:v>Kip</x:v>
      </x:c>
      <x:c r="D168" s="2" t="str">
        <x:v>Day 4 09:00:12</x:v>
      </x:c>
      <x:c r="E168" s="2" t="str">
        <x:v>cast</x:v>
      </x:c>
      <x:c r="F168" s="2" t="str">
        <x:v>Sovereign Ward</x:v>
      </x:c>
      <x:c r="G168" s="31" t="n">
        <x:v>40</x:v>
      </x:c>
      <x:c r="H168" s="31" t="n">
        <x:f>N167</x:f>
        <x:v>40</x:v>
      </x:c>
      <x:c r="I168" s="31" t="n">
        <x:f>IF(AND(ISNUMBER(G168),ISNUMBER(H168)),H168-G168,"")</x:f>
        <x:v>0</x:v>
      </x:c>
      <x:c r="J168" s="31" t="n">
        <x:v>15</x:v>
      </x:c>
      <x:c r="K168" s="31" t="n">
        <x:v>0</x:v>
      </x:c>
      <x:c r="L168" s="31" t="n">
        <x:f>IF(AND(ISNUMBER(K168),ISNUMBER('Rules'!$B$10)),K168*'Rules'!$B$10,"")</x:f>
        <x:v>0</x:v>
      </x:c>
      <x:c r="M168" s="31" t="n">
        <x:f>'Rules'!$B$8+'Rules'!$B$9*('XP events'!J56-1)</x:f>
        <x:v>75</x:v>
      </x:c>
      <x:c r="N168" s="31" t="n">
        <x:f>IF(AND(ISNUMBER(H168),ISNUMBER(J168),ISNUMBER(L168),ISNUMBER(M168)),MIN(M168,H168-J168+L168),"")</x:f>
        <x:v>25</x:v>
      </x:c>
      <x:c r="O168" s="31" t="n">
        <x:v>25</x:v>
      </x:c>
      <x:c r="P168" s="31" t="n">
        <x:f>IF(AND(ISNUMBER(O168),ISNUMBER(N168)),N168-O168,"")</x:f>
        <x:v>0</x:v>
      </x:c>
      <x:c r="Q168" s="31" t="n">
        <x:f>IF(E168="cast",J168-INDEX('Rules'!$G$15:$G$23,MATCH(F168,'Rules'!$F$15:$F$23,0)),"")</x:f>
        <x:v>0</x:v>
      </x:c>
    </x:row>
    <x:row r="169" ht="22" customHeight="1">
      <x:c r="A169" s="17" t="str">
        <x:v>C19E07</x:v>
      </x:c>
      <x:c r="B169" s="51" t="n">
        <x:v>19</x:v>
      </x:c>
      <x:c r="C169" s="17" t="str">
        <x:v>Owen</x:v>
      </x:c>
      <x:c r="D169" s="17" t="str">
        <x:v>Day 4 09:00:17</x:v>
      </x:c>
      <x:c r="E169" s="17" t="str">
        <x:v>cast</x:v>
      </x:c>
      <x:c r="F169" s="17" t="str">
        <x:v>Staunch</x:v>
      </x:c>
      <x:c r="G169" s="42" t="n">
        <x:v>95</x:v>
      </x:c>
      <x:c r="H169" s="42" t="n">
        <x:f>N153</x:f>
        <x:v>95</x:v>
      </x:c>
      <x:c r="I169" s="42" t="n">
        <x:f>IF(AND(ISNUMBER(G169),ISNUMBER(H169)),H169-G169,"")</x:f>
        <x:v>0</x:v>
      </x:c>
      <x:c r="J169" s="42" t="n">
        <x:v>10</x:v>
      </x:c>
      <x:c r="K169" s="42" t="n">
        <x:v>0</x:v>
      </x:c>
      <x:c r="L169" s="42" t="n">
        <x:f>IF(AND(ISNUMBER(K169),ISNUMBER('Rules'!$B$10)),K169*'Rules'!$B$10,"")</x:f>
        <x:v>0</x:v>
      </x:c>
      <x:c r="M169" s="42" t="n">
        <x:f>'Rules'!$B$8+'Rules'!$B$9*('XP events'!J58-1)</x:f>
        <x:v>95</x:v>
      </x:c>
      <x:c r="N169" s="42" t="n">
        <x:f>IF(AND(ISNUMBER(H169),ISNUMBER(J169),ISNUMBER(L169),ISNUMBER(M169)),MIN(M169,H169-J169+L169),"")</x:f>
        <x:v>85</x:v>
      </x:c>
      <x:c r="O169" s="42" t="n">
        <x:v>85</x:v>
      </x:c>
      <x:c r="P169" s="42" t="n">
        <x:f>IF(AND(ISNUMBER(O169),ISNUMBER(N169)),N169-O169,"")</x:f>
        <x:v>0</x:v>
      </x:c>
      <x:c r="Q169" s="42" t="n">
        <x:f>IF(E169="cast",J169-INDEX('Rules'!$G$15:$G$23,MATCH(F169,'Rules'!$F$15:$F$23,0)),"")</x:f>
        <x:v>0</x:v>
      </x:c>
    </x:row>
    <x:row r="170" ht="22" customHeight="1">
      <x:c r="A170" s="2" t="str">
        <x:v>C19E08</x:v>
      </x:c>
      <x:c r="B170" s="50" t="n">
        <x:v>19</x:v>
      </x:c>
      <x:c r="C170" s="2" t="str">
        <x:v>Tessa</x:v>
      </x:c>
      <x:c r="D170" s="2" t="str">
        <x:v>Day 4 09:00:21</x:v>
      </x:c>
      <x:c r="E170" s="2" t="str">
        <x:v>cast</x:v>
      </x:c>
      <x:c r="F170" s="2" t="str">
        <x:v>Quickstep</x:v>
      </x:c>
      <x:c r="G170" s="31" t="n">
        <x:v>70</x:v>
      </x:c>
      <x:c r="H170" s="31" t="n">
        <x:f>N165</x:f>
        <x:v>70</x:v>
      </x:c>
      <x:c r="I170" s="31" t="n">
        <x:f>IF(AND(ISNUMBER(G170),ISNUMBER(H170)),H170-G170,"")</x:f>
        <x:v>0</x:v>
      </x:c>
      <x:c r="J170" s="31" t="n">
        <x:v>10</x:v>
      </x:c>
      <x:c r="K170" s="31" t="n">
        <x:v>0</x:v>
      </x:c>
      <x:c r="L170" s="31" t="n">
        <x:f>IF(AND(ISNUMBER(K170),ISNUMBER('Rules'!$B$10)),K170*'Rules'!$B$10,"")</x:f>
        <x:v>0</x:v>
      </x:c>
      <x:c r="M170" s="31" t="n">
        <x:f>'Rules'!$B$8+'Rules'!$B$9*('XP events'!J57-1)</x:f>
        <x:v>80</x:v>
      </x:c>
      <x:c r="N170" s="31" t="n">
        <x:f>IF(AND(ISNUMBER(H170),ISNUMBER(J170),ISNUMBER(L170),ISNUMBER(M170)),MIN(M170,H170-J170+L170),"")</x:f>
        <x:v>60</x:v>
      </x:c>
      <x:c r="O170" s="31" t="n">
        <x:v>60</x:v>
      </x:c>
      <x:c r="P170" s="31" t="n">
        <x:f>IF(AND(ISNUMBER(O170),ISNUMBER(N170)),N170-O170,"")</x:f>
        <x:v>0</x:v>
      </x:c>
      <x:c r="Q170" s="31" t="n">
        <x:f>IF(E170="cast",J170-INDEX('Rules'!$G$15:$G$23,MATCH(F170,'Rules'!$F$15:$F$23,0)),"")</x:f>
        <x:v>0</x:v>
      </x:c>
    </x:row>
    <x:row r="171" ht="22" customHeight="1">
      <x:c r="A171" s="17" t="str">
        <x:v>C19E09</x:v>
      </x:c>
      <x:c r="B171" s="51" t="n">
        <x:v>19</x:v>
      </x:c>
      <x:c r="C171" s="17" t="str">
        <x:v>Dane</x:v>
      </x:c>
      <x:c r="D171" s="17" t="str">
        <x:v>Day 4 09:00:22</x:v>
      </x:c>
      <x:c r="E171" s="17" t="str">
        <x:v>cast</x:v>
      </x:c>
      <x:c r="F171" s="17" t="str">
        <x:v>Bulwark</x:v>
      </x:c>
      <x:c r="G171" s="42" t="n">
        <x:v>80</x:v>
      </x:c>
      <x:c r="H171" s="42" t="n">
        <x:f>N164</x:f>
        <x:v>80</x:v>
      </x:c>
      <x:c r="I171" s="42" t="n">
        <x:f>IF(AND(ISNUMBER(G171),ISNUMBER(H171)),H171-G171,"")</x:f>
        <x:v>0</x:v>
      </x:c>
      <x:c r="J171" s="42" t="n">
        <x:v>20</x:v>
      </x:c>
      <x:c r="K171" s="42" t="n">
        <x:v>0</x:v>
      </x:c>
      <x:c r="L171" s="42" t="n">
        <x:f>IF(AND(ISNUMBER(K171),ISNUMBER('Rules'!$B$10)),K171*'Rules'!$B$10,"")</x:f>
        <x:v>0</x:v>
      </x:c>
      <x:c r="M171" s="42" t="n">
        <x:f>'Rules'!$B$8+'Rules'!$B$9*('XP events'!J59-1)</x:f>
        <x:v>95</x:v>
      </x:c>
      <x:c r="N171" s="42" t="n">
        <x:f>IF(AND(ISNUMBER(H171),ISNUMBER(J171),ISNUMBER(L171),ISNUMBER(M171)),MIN(M171,H171-J171+L171),"")</x:f>
        <x:v>60</x:v>
      </x:c>
      <x:c r="O171" s="42" t="n">
        <x:v>60</x:v>
      </x:c>
      <x:c r="P171" s="42" t="n">
        <x:f>IF(AND(ISNUMBER(O171),ISNUMBER(N171)),N171-O171,"")</x:f>
        <x:v>0</x:v>
      </x:c>
      <x:c r="Q171" s="42" t="n">
        <x:f>IF(E171="cast",J171-INDEX('Rules'!$G$15:$G$23,MATCH(F171,'Rules'!$F$15:$F$23,0)),"")</x:f>
        <x:v>0</x:v>
      </x:c>
    </x:row>
    <x:row r="172" ht="22" customHeight="1">
      <x:c r="A172" s="2" t="str">
        <x:v>C19E10</x:v>
      </x:c>
      <x:c r="B172" s="50" t="n">
        <x:v>19</x:v>
      </x:c>
      <x:c r="C172" s="2" t="str">
        <x:v>Kip</x:v>
      </x:c>
      <x:c r="D172" s="2" t="str">
        <x:v>Day 4 09:00:28</x:v>
      </x:c>
      <x:c r="E172" s="2" t="str">
        <x:v>cast</x:v>
      </x:c>
      <x:c r="F172" s="2" t="str">
        <x:v>Override</x:v>
      </x:c>
      <x:c r="G172" s="31" t="n">
        <x:v>25</x:v>
      </x:c>
      <x:c r="H172" s="31" t="n">
        <x:f>N168</x:f>
        <x:v>25</x:v>
      </x:c>
      <x:c r="I172" s="31" t="n">
        <x:f>IF(AND(ISNUMBER(G172),ISNUMBER(H172)),H172-G172,"")</x:f>
        <x:v>0</x:v>
      </x:c>
      <x:c r="J172" s="31" t="n">
        <x:v>10</x:v>
      </x:c>
      <x:c r="K172" s="31" t="n">
        <x:v>0</x:v>
      </x:c>
      <x:c r="L172" s="31" t="n">
        <x:f>IF(AND(ISNUMBER(K172),ISNUMBER('Rules'!$B$10)),K172*'Rules'!$B$10,"")</x:f>
        <x:v>0</x:v>
      </x:c>
      <x:c r="M172" s="31" t="n">
        <x:f>'Rules'!$B$8+'Rules'!$B$9*('XP events'!J56-1)</x:f>
        <x:v>75</x:v>
      </x:c>
      <x:c r="N172" s="31" t="n">
        <x:f>IF(AND(ISNUMBER(H172),ISNUMBER(J172),ISNUMBER(L172),ISNUMBER(M172)),MIN(M172,H172-J172+L172),"")</x:f>
        <x:v>15</x:v>
      </x:c>
      <x:c r="O172" s="31" t="n">
        <x:v>15</x:v>
      </x:c>
      <x:c r="P172" s="31" t="n">
        <x:f>IF(AND(ISNUMBER(O172),ISNUMBER(N172)),N172-O172,"")</x:f>
        <x:v>0</x:v>
      </x:c>
      <x:c r="Q172" s="31" t="n">
        <x:f>IF(E172="cast",J172-INDEX('Rules'!$G$15:$G$23,MATCH(F172,'Rules'!$F$15:$F$23,0)),"")</x:f>
        <x:v>0</x:v>
      </x:c>
    </x:row>
    <x:row r="173" ht="22" customHeight="1">
      <x:c r="A173" s="17" t="str">
        <x:v>C19E11</x:v>
      </x:c>
      <x:c r="B173" s="51" t="n">
        <x:v>19</x:v>
      </x:c>
      <x:c r="C173" s="17" t="str">
        <x:v>Owen</x:v>
      </x:c>
      <x:c r="D173" s="17" t="str">
        <x:v>Day 4 09:01:30</x:v>
      </x:c>
      <x:c r="E173" s="17" t="str">
        <x:v>cast</x:v>
      </x:c>
      <x:c r="F173" s="17" t="str">
        <x:v>Mend</x:v>
      </x:c>
      <x:c r="G173" s="42" t="n">
        <x:v>85</x:v>
      </x:c>
      <x:c r="H173" s="42" t="n">
        <x:f>N169</x:f>
        <x:v>85</x:v>
      </x:c>
      <x:c r="I173" s="42" t="n">
        <x:f>IF(AND(ISNUMBER(G173),ISNUMBER(H173)),H173-G173,"")</x:f>
        <x:v>0</x:v>
      </x:c>
      <x:c r="J173" s="42" t="n">
        <x:v>20</x:v>
      </x:c>
      <x:c r="K173" s="42" t="n">
        <x:v>0</x:v>
      </x:c>
      <x:c r="L173" s="42" t="n">
        <x:f>IF(AND(ISNUMBER(K173),ISNUMBER('Rules'!$B$10)),K173*'Rules'!$B$10,"")</x:f>
        <x:v>0</x:v>
      </x:c>
      <x:c r="M173" s="42" t="n">
        <x:f>'Rules'!$B$8+'Rules'!$B$9*('XP events'!J58-1)</x:f>
        <x:v>95</x:v>
      </x:c>
      <x:c r="N173" s="42" t="n">
        <x:f>IF(AND(ISNUMBER(H173),ISNUMBER(J173),ISNUMBER(L173),ISNUMBER(M173)),MIN(M173,H173-J173+L173),"")</x:f>
        <x:v>65</x:v>
      </x:c>
      <x:c r="O173" s="42" t="n">
        <x:v>65</x:v>
      </x:c>
      <x:c r="P173" s="42" t="n">
        <x:f>IF(AND(ISNUMBER(O173),ISNUMBER(N173)),N173-O173,"")</x:f>
        <x:v>0</x:v>
      </x:c>
      <x:c r="Q173" s="42" t="n">
        <x:f>IF(E173="cast",J173-INDEX('Rules'!$G$15:$G$23,MATCH(F173,'Rules'!$F$15:$F$23,0)),"")</x:f>
        <x:v>0</x:v>
      </x:c>
    </x:row>
    <x:row r="174" ht="22" customHeight="1">
      <x:c r="A174" s="2" t="str">
        <x:v>C20E01</x:v>
      </x:c>
      <x:c r="B174" s="50" t="n">
        <x:v>20</x:v>
      </x:c>
      <x:c r="C174" s="2" t="str">
        <x:v>Kip</x:v>
      </x:c>
      <x:c r="D174" s="2" t="str">
        <x:v>Day 4 09:31:00</x:v>
      </x:c>
      <x:c r="E174" s="2" t="str">
        <x:v>rest</x:v>
      </x:c>
      <x:c r="F174" s="2"/>
      <x:c r="G174" s="31" t="n">
        <x:v>15</x:v>
      </x:c>
      <x:c r="H174" s="31" t="n">
        <x:f>N172</x:f>
        <x:v>15</x:v>
      </x:c>
      <x:c r="I174" s="31" t="n">
        <x:f>IF(AND(ISNUMBER(G174),ISNUMBER(H174)),H174-G174,"")</x:f>
        <x:v>0</x:v>
      </x:c>
      <x:c r="J174" s="31" t="n">
        <x:v>0</x:v>
      </x:c>
      <x:c r="K174" s="31" t="n">
        <x:v>13</x:v>
      </x:c>
      <x:c r="L174" s="31" t="n">
        <x:f>IF(AND(ISNUMBER(K174),ISNUMBER('Rules'!$B$10)),K174*'Rules'!$B$10,"")</x:f>
        <x:v>65</x:v>
      </x:c>
      <x:c r="M174" s="31" t="n">
        <x:f>'Rules'!$B$8+'Rules'!$B$9*('XP events'!J60-1)</x:f>
        <x:v>80</x:v>
      </x:c>
      <x:c r="N174" s="31" t="n">
        <x:f>IF(AND(ISNUMBER(H174),ISNUMBER(J174),ISNUMBER(L174),ISNUMBER(M174)),MIN(M174,H174-J174+L174),"")</x:f>
        <x:v>80</x:v>
      </x:c>
      <x:c r="O174" s="31" t="n">
        <x:v>80</x:v>
      </x:c>
      <x:c r="P174" s="31" t="n">
        <x:f>IF(AND(ISNUMBER(O174),ISNUMBER(N174)),N174-O174,"")</x:f>
        <x:v>0</x:v>
      </x:c>
      <x:c r="Q174" s="31" t="str">
        <x:f>IF(E174="cast",J174-INDEX('Rules'!$G$15:$G$23,MATCH(F174,'Rules'!$F$15:$F$23,0)),"")</x:f>
      </x:c>
    </x:row>
    <x:row r="175" ht="22" customHeight="1">
      <x:c r="A175" s="17" t="str">
        <x:v>C20E02</x:v>
      </x:c>
      <x:c r="B175" s="51" t="n">
        <x:v>20</x:v>
      </x:c>
      <x:c r="C175" s="17" t="str">
        <x:v>Tessa</x:v>
      </x:c>
      <x:c r="D175" s="17" t="str">
        <x:v>Day 4 09:31:00</x:v>
      </x:c>
      <x:c r="E175" s="17" t="str">
        <x:v>rest</x:v>
      </x:c>
      <x:c r="F175" s="17"/>
      <x:c r="G175" s="42" t="n">
        <x:v>60</x:v>
      </x:c>
      <x:c r="H175" s="42" t="n">
        <x:f>N170</x:f>
        <x:v>60</x:v>
      </x:c>
      <x:c r="I175" s="42" t="n">
        <x:f>IF(AND(ISNUMBER(G175),ISNUMBER(H175)),H175-G175,"")</x:f>
        <x:v>0</x:v>
      </x:c>
      <x:c r="J175" s="42" t="n">
        <x:v>0</x:v>
      </x:c>
      <x:c r="K175" s="42" t="n">
        <x:v>5</x:v>
      </x:c>
      <x:c r="L175" s="42" t="n">
        <x:f>IF(AND(ISNUMBER(K175),ISNUMBER('Rules'!$B$10)),K175*'Rules'!$B$10,"")</x:f>
        <x:v>25</x:v>
      </x:c>
      <x:c r="M175" s="42" t="n">
        <x:f>'Rules'!$B$8+'Rules'!$B$9*('XP events'!J61-1)</x:f>
        <x:v>85</x:v>
      </x:c>
      <x:c r="N175" s="42" t="n">
        <x:f>IF(AND(ISNUMBER(H175),ISNUMBER(J175),ISNUMBER(L175),ISNUMBER(M175)),MIN(M175,H175-J175+L175),"")</x:f>
        <x:v>85</x:v>
      </x:c>
      <x:c r="O175" s="42" t="n">
        <x:v>85</x:v>
      </x:c>
      <x:c r="P175" s="42" t="n">
        <x:f>IF(AND(ISNUMBER(O175),ISNUMBER(N175)),N175-O175,"")</x:f>
        <x:v>0</x:v>
      </x:c>
      <x:c r="Q175" s="42" t="str">
        <x:f>IF(E175="cast",J175-INDEX('Rules'!$G$15:$G$23,MATCH(F175,'Rules'!$F$15:$F$23,0)),"")</x:f>
      </x:c>
    </x:row>
    <x:row r="176" ht="22" customHeight="1">
      <x:c r="A176" s="2" t="str">
        <x:v>C20E03</x:v>
      </x:c>
      <x:c r="B176" s="50" t="n">
        <x:v>20</x:v>
      </x:c>
      <x:c r="C176" s="2" t="str">
        <x:v>Owen</x:v>
      </x:c>
      <x:c r="D176" s="2" t="str">
        <x:v>Day 4 09:31:00</x:v>
      </x:c>
      <x:c r="E176" s="2" t="str">
        <x:v>rest</x:v>
      </x:c>
      <x:c r="F176" s="2"/>
      <x:c r="G176" s="31" t="n">
        <x:v>65</x:v>
      </x:c>
      <x:c r="H176" s="31" t="n">
        <x:f>N173</x:f>
        <x:v>65</x:v>
      </x:c>
      <x:c r="I176" s="31" t="n">
        <x:f>IF(AND(ISNUMBER(G176),ISNUMBER(H176)),H176-G176,"")</x:f>
        <x:v>0</x:v>
      </x:c>
      <x:c r="J176" s="31" t="n">
        <x:v>0</x:v>
      </x:c>
      <x:c r="K176" s="31" t="n">
        <x:v>6</x:v>
      </x:c>
      <x:c r="L176" s="31" t="n">
        <x:f>IF(AND(ISNUMBER(K176),ISNUMBER('Rules'!$B$10)),K176*'Rules'!$B$10,"")</x:f>
        <x:v>30</x:v>
      </x:c>
      <x:c r="M176" s="31" t="n">
        <x:f>'Rules'!$B$8+'Rules'!$B$9*('XP events'!J62-1)</x:f>
        <x:v>95</x:v>
      </x:c>
      <x:c r="N176" s="31" t="n">
        <x:f>IF(AND(ISNUMBER(H176),ISNUMBER(J176),ISNUMBER(L176),ISNUMBER(M176)),MIN(M176,H176-J176+L176),"")</x:f>
        <x:v>95</x:v>
      </x:c>
      <x:c r="O176" s="31" t="n">
        <x:v>95</x:v>
      </x:c>
      <x:c r="P176" s="31" t="n">
        <x:f>IF(AND(ISNUMBER(O176),ISNUMBER(N176)),N176-O176,"")</x:f>
        <x:v>0</x:v>
      </x:c>
      <x:c r="Q176" s="31" t="str">
        <x:f>IF(E176="cast",J176-INDEX('Rules'!$G$15:$G$23,MATCH(F176,'Rules'!$F$15:$F$23,0)),"")</x:f>
      </x:c>
    </x:row>
    <x:row r="177" ht="22" customHeight="1">
      <x:c r="A177" s="17" t="str">
        <x:v>C20E04</x:v>
      </x:c>
      <x:c r="B177" s="51" t="n">
        <x:v>20</x:v>
      </x:c>
      <x:c r="C177" s="17" t="str">
        <x:v>Dane</x:v>
      </x:c>
      <x:c r="D177" s="17" t="str">
        <x:v>Day 4 09:31:00</x:v>
      </x:c>
      <x:c r="E177" s="17" t="str">
        <x:v>rest</x:v>
      </x:c>
      <x:c r="F177" s="17"/>
      <x:c r="G177" s="42" t="n">
        <x:v>60</x:v>
      </x:c>
      <x:c r="H177" s="42" t="n">
        <x:f>N171</x:f>
        <x:v>60</x:v>
      </x:c>
      <x:c r="I177" s="42" t="n">
        <x:f>IF(AND(ISNUMBER(G177),ISNUMBER(H177)),H177-G177,"")</x:f>
        <x:v>0</x:v>
      </x:c>
      <x:c r="J177" s="42" t="n">
        <x:v>0</x:v>
      </x:c>
      <x:c r="K177" s="42" t="n">
        <x:v>7</x:v>
      </x:c>
      <x:c r="L177" s="42" t="n">
        <x:f>IF(AND(ISNUMBER(K177),ISNUMBER('Rules'!$B$10)),K177*'Rules'!$B$10,"")</x:f>
        <x:v>35</x:v>
      </x:c>
      <x:c r="M177" s="42" t="n">
        <x:f>'Rules'!$B$8+'Rules'!$B$9*('XP events'!J63-1)</x:f>
        <x:v>95</x:v>
      </x:c>
      <x:c r="N177" s="42" t="n">
        <x:f>IF(AND(ISNUMBER(H177),ISNUMBER(J177),ISNUMBER(L177),ISNUMBER(M177)),MIN(M177,H177-J177+L177),"")</x:f>
        <x:v>95</x:v>
      </x:c>
      <x:c r="O177" s="42" t="n">
        <x:v>95</x:v>
      </x:c>
      <x:c r="P177" s="42" t="n">
        <x:f>IF(AND(ISNUMBER(O177),ISNUMBER(N177)),N177-O177,"")</x:f>
        <x:v>0</x:v>
      </x:c>
      <x:c r="Q177" s="42" t="str">
        <x:f>IF(E177="cast",J177-INDEX('Rules'!$G$15:$G$23,MATCH(F177,'Rules'!$F$15:$F$23,0)),"")</x:f>
      </x:c>
    </x:row>
    <x:row r="178" ht="22" customHeight="1">
      <x:c r="A178" s="2" t="str">
        <x:v>C20E05</x:v>
      </x:c>
      <x:c r="B178" s="50" t="n">
        <x:v>20</x:v>
      </x:c>
      <x:c r="C178" s="2" t="str">
        <x:v>Tessa</x:v>
      </x:c>
      <x:c r="D178" s="2" t="str">
        <x:v>Day 4 10:10:00</x:v>
      </x:c>
      <x:c r="E178" s="2" t="str">
        <x:v>cast</x:v>
      </x:c>
      <x:c r="F178" s="2" t="str">
        <x:v>Quickstep</x:v>
      </x:c>
      <x:c r="G178" s="31" t="n">
        <x:v>85</x:v>
      </x:c>
      <x:c r="H178" s="31" t="n">
        <x:f>N175</x:f>
        <x:v>85</x:v>
      </x:c>
      <x:c r="I178" s="31" t="n">
        <x:f>IF(AND(ISNUMBER(G178),ISNUMBER(H178)),H178-G178,"")</x:f>
        <x:v>0</x:v>
      </x:c>
      <x:c r="J178" s="31" t="n">
        <x:v>10</x:v>
      </x:c>
      <x:c r="K178" s="31" t="n">
        <x:v>0</x:v>
      </x:c>
      <x:c r="L178" s="31" t="n">
        <x:f>IF(AND(ISNUMBER(K178),ISNUMBER('Rules'!$B$10)),K178*'Rules'!$B$10,"")</x:f>
        <x:v>0</x:v>
      </x:c>
      <x:c r="M178" s="31" t="n">
        <x:f>'Rules'!$B$8+'Rules'!$B$9*('XP events'!J61-1)</x:f>
        <x:v>85</x:v>
      </x:c>
      <x:c r="N178" s="31" t="n">
        <x:f>IF(AND(ISNUMBER(H178),ISNUMBER(J178),ISNUMBER(L178),ISNUMBER(M178)),MIN(M178,H178-J178+L178),"")</x:f>
        <x:v>75</x:v>
      </x:c>
      <x:c r="O178" s="31" t="n">
        <x:v>75</x:v>
      </x:c>
      <x:c r="P178" s="31" t="n">
        <x:f>IF(AND(ISNUMBER(O178),ISNUMBER(N178)),N178-O178,"")</x:f>
        <x:v>0</x:v>
      </x:c>
      <x:c r="Q178" s="31" t="n">
        <x:f>IF(E178="cast",J178-INDEX('Rules'!$G$15:$G$23,MATCH(F178,'Rules'!$F$15:$F$23,0)),"")</x:f>
        <x:v>0</x:v>
      </x:c>
    </x:row>
    <x:row r="179" ht="22" customHeight="1">
      <x:c r="A179" s="17" t="str">
        <x:v>C20E06</x:v>
      </x:c>
      <x:c r="B179" s="51" t="n">
        <x:v>20</x:v>
      </x:c>
      <x:c r="C179" s="17" t="str">
        <x:v>Dane</x:v>
      </x:c>
      <x:c r="D179" s="17" t="str">
        <x:v>Day 4 10:10:03</x:v>
      </x:c>
      <x:c r="E179" s="17" t="str">
        <x:v>cast</x:v>
      </x:c>
      <x:c r="F179" s="17" t="str">
        <x:v>Bulwark</x:v>
      </x:c>
      <x:c r="G179" s="42" t="n">
        <x:v>95</x:v>
      </x:c>
      <x:c r="H179" s="42" t="n">
        <x:f>N177</x:f>
        <x:v>95</x:v>
      </x:c>
      <x:c r="I179" s="42" t="n">
        <x:f>IF(AND(ISNUMBER(G179),ISNUMBER(H179)),H179-G179,"")</x:f>
        <x:v>0</x:v>
      </x:c>
      <x:c r="J179" s="42" t="n">
        <x:v>20</x:v>
      </x:c>
      <x:c r="K179" s="42" t="n">
        <x:v>0</x:v>
      </x:c>
      <x:c r="L179" s="42" t="n">
        <x:f>IF(AND(ISNUMBER(K179),ISNUMBER('Rules'!$B$10)),K179*'Rules'!$B$10,"")</x:f>
        <x:v>0</x:v>
      </x:c>
      <x:c r="M179" s="42" t="n">
        <x:f>'Rules'!$B$8+'Rules'!$B$9*('XP events'!J63-1)</x:f>
        <x:v>95</x:v>
      </x:c>
      <x:c r="N179" s="42" t="n">
        <x:f>IF(AND(ISNUMBER(H179),ISNUMBER(J179),ISNUMBER(L179),ISNUMBER(M179)),MIN(M179,H179-J179+L179),"")</x:f>
        <x:v>75</x:v>
      </x:c>
      <x:c r="O179" s="42" t="n">
        <x:v>75</x:v>
      </x:c>
      <x:c r="P179" s="42" t="n">
        <x:f>IF(AND(ISNUMBER(O179),ISNUMBER(N179)),N179-O179,"")</x:f>
        <x:v>0</x:v>
      </x:c>
      <x:c r="Q179" s="42" t="n">
        <x:f>IF(E179="cast",J179-INDEX('Rules'!$G$15:$G$23,MATCH(F179,'Rules'!$F$15:$F$23,0)),"")</x:f>
        <x:v>0</x:v>
      </x:c>
    </x:row>
    <x:row r="180" ht="22" customHeight="1">
      <x:c r="A180" s="4" t="str">
        <x:v>C20E07</x:v>
      </x:c>
      <x:c r="B180" s="55" t="n">
        <x:v>20</x:v>
      </x:c>
      <x:c r="C180" s="4" t="str">
        <x:v>Kip</x:v>
      </x:c>
      <x:c r="D180" s="4" t="str">
        <x:v>Day 4 10:10:05</x:v>
      </x:c>
      <x:c r="E180" s="4" t="str">
        <x:v>cast</x:v>
      </x:c>
      <x:c r="F180" s="4" t="str">
        <x:v>Override</x:v>
      </x:c>
      <x:c r="G180" s="54" t="n">
        <x:v>80</x:v>
      </x:c>
      <x:c r="H180" s="54" t="n">
        <x:f>N174</x:f>
        <x:v>80</x:v>
      </x:c>
      <x:c r="I180" s="54" t="n">
        <x:f>IF(AND(ISNUMBER(G180),ISNUMBER(H180)),H180-G180,"")</x:f>
        <x:v>0</x:v>
      </x:c>
      <x:c r="J180" s="54" t="n">
        <x:v>10</x:v>
      </x:c>
      <x:c r="K180" s="54" t="n">
        <x:v>0</x:v>
      </x:c>
      <x:c r="L180" s="54" t="n">
        <x:f>IF(AND(ISNUMBER(K180),ISNUMBER('Rules'!$B$10)),K180*'Rules'!$B$10,"")</x:f>
        <x:v>0</x:v>
      </x:c>
      <x:c r="M180" s="54" t="n">
        <x:f>'Rules'!$B$8+'Rules'!$B$9*('XP events'!J60-1)</x:f>
        <x:v>80</x:v>
      </x:c>
      <x:c r="N180" s="54" t="n">
        <x:f>IF(AND(ISNUMBER(H180),ISNUMBER(J180),ISNUMBER(L180),ISNUMBER(M180)),MIN(M180,H180-J180+L180),"")</x:f>
        <x:v>70</x:v>
      </x:c>
      <x:c r="O180" s="54" t="n">
        <x:v>70</x:v>
      </x:c>
      <x:c r="P180" s="54" t="n">
        <x:f>IF(AND(ISNUMBER(O180),ISNUMBER(N180)),N180-O180,"")</x:f>
        <x:v>0</x:v>
      </x:c>
      <x:c r="Q180" s="54" t="n">
        <x:f>IF(E180="cast",J180-INDEX('Rules'!$G$15:$G$23,MATCH(F180,'Rules'!$F$15:$F$23,0)),"")</x:f>
        <x:v>0</x:v>
      </x:c>
    </x:row>
    <x:row r="181" ht="22" customHeight="1">
      <x:c r="A181" s="2"/>
      <x:c r="B181" s="2"/>
      <x:c r="C181" s="2"/>
      <x:c r="D181" s="2"/>
      <x:c r="E181" s="2"/>
      <x:c r="F181" s="2"/>
      <x:c r="G181" s="2"/>
      <x:c r="H181" s="2"/>
      <x:c r="I181" s="2"/>
      <x:c r="J181" s="2"/>
      <x:c r="K181" s="2"/>
      <x:c r="L181" s="2"/>
      <x:c r="M181" s="2"/>
      <x:c r="N181" s="2"/>
      <x:c r="O181" s="2"/>
      <x:c r="P181" s="2"/>
      <x:c r="Q181" s="2"/>
    </x:row>
  </x:sheetData>
  <x:conditionalFormatting sqref="I8:I180">
    <x:cfRule type="cellIs" dxfId="1" priority="1" operator="notEqual">
      <x:formula>0</x:formula>
    </x:cfRule>
  </x:conditionalFormatting>
  <x:conditionalFormatting sqref="P8:Q180">
    <x:cfRule type="cellIs" dxfId="2" priority="2" operator="notEqual">
      <x:formula>0</x:formula>
    </x:cfRule>
  </x:conditionalFormatting>
  <x:conditionalFormatting sqref="N8:N180">
    <x:cfRule type="cellIs" dxfId="3" priority="3" operator="lessThan">
      <x:formula>0</x:formula>
    </x:cfRule>
  </x:conditionalFormatting>
  <x:pageMargins left="0.7" right="0.7" top="0.75" bottom="0.75" header="0.3" footer="0.3"/>
  <x:tableParts count="1">
    <x:tablePart xmlns:r="http://schemas.openxmlformats.org/officeDocument/2006/relationships" r:id="R589928004a684c3a"/>
  </x:tableParts>
</x:worksheet>
</file>

<file path=xl/worksheets/sheet3.xml><?xml version="1.0" encoding="utf-8"?>
<x:worksheet xmlns:x="http://schemas.openxmlformats.org/spreadsheetml/2006/main">
  <x:sheetPr>
    <x:tabColor rgb="FF493D69"/>
  </x:sheetPr>
  <x:sheetViews>
    <x:sheetView showGridLines="0" workbookViewId="0">
      <x:pane xSplit="3" ySplit="7" topLeftCell="D8" activePane="bottomRight" state="frozen"/>
    </x:sheetView>
  </x:sheetViews>
  <x:sheetFormatPr defaultRowHeight="15"/>
  <x:cols>
    <x:col min="1" max="1" width="13" hidden="0" customWidth="1"/>
    <x:col min="2" max="2" width="6" hidden="0" customWidth="1"/>
    <x:col min="3" max="3" width="12" hidden="0" customWidth="1"/>
    <x:col min="4" max="4" width="24" hidden="0" customWidth="1"/>
    <x:col min="5" max="5" width="13" hidden="0" customWidth="1"/>
    <x:col min="6" max="6" width="12" hidden="0" customWidth="1"/>
    <x:col min="7" max="7" width="10" hidden="0" customWidth="1"/>
    <x:col min="8" max="8" width="15" hidden="0" customWidth="1"/>
    <x:col min="9" max="9" width="15" hidden="0" customWidth="1"/>
    <x:col min="10" max="10" width="12" hidden="0" customWidth="1"/>
    <x:col min="11" max="11" width="12" hidden="0" customWidth="1"/>
    <x:col min="12" max="12" width="14" hidden="0" customWidth="1"/>
    <x:col min="13" max="13" width="12" hidden="0" customWidth="1"/>
    <x:col min="14" max="14" width="15" hidden="0" customWidth="1"/>
    <x:col min="15" max="15" width="14" hidden="0" customWidth="1"/>
    <x:col min="16" max="16" width="13" hidden="0" customWidth="1"/>
    <x:col min="17" max="17" width="14" hidden="0" customWidth="1"/>
    <x:col min="18" max="18" width="14" hidden="0" customWidth="1"/>
    <x:col min="19" max="19" width="72" hidden="0" customWidth="1"/>
  </x:cols>
  <x:sheetData>
    <x:row r="1" ht="10" customHeight="1">
      <x:c r="A1" s="2"/>
      <x:c r="B1" s="2"/>
      <x:c r="C1" s="2"/>
      <x:c r="D1" s="2"/>
      <x:c r="E1" s="2"/>
      <x:c r="F1" s="2"/>
      <x:c r="G1" s="2"/>
      <x:c r="H1" s="2"/>
      <x:c r="I1" s="2"/>
      <x:c r="J1" s="2"/>
      <x:c r="K1" s="2"/>
      <x:c r="L1" s="2"/>
      <x:c r="M1" s="2"/>
      <x:c r="N1" s="2"/>
      <x:c r="O1" s="2"/>
      <x:c r="P1" s="2"/>
      <x:c r="Q1" s="2"/>
      <x:c r="R1" s="2"/>
      <x:c r="S1" s="2"/>
    </x:row>
    <x:row r="2" ht="22" customHeight="1">
      <x:c r="A2" s="3" t="str">
        <x:v>XP events</x:v>
      </x:c>
      <x:c r="B2" s="2"/>
      <x:c r="C2" s="2"/>
      <x:c r="D2" s="2"/>
      <x:c r="E2" s="2"/>
      <x:c r="F2" s="2"/>
      <x:c r="G2" s="2"/>
      <x:c r="H2" s="2"/>
      <x:c r="I2" s="2"/>
      <x:c r="J2" s="2"/>
      <x:c r="K2" s="2"/>
      <x:c r="L2" s="2"/>
      <x:c r="M2" s="2"/>
      <x:c r="N2" s="2"/>
      <x:c r="O2" s="2"/>
      <x:c r="P2" s="2"/>
      <x:c r="Q2" s="2"/>
      <x:c r="R2" s="2"/>
      <x:c r="S2" s="2"/>
    </x:row>
    <x:row r="3" ht="22" customHeight="1">
      <x:c r="A3" s="4"/>
      <x:c r="B3" s="4"/>
      <x:c r="C3" s="4"/>
      <x:c r="D3" s="4"/>
      <x:c r="E3" s="4"/>
      <x:c r="F3" s="4"/>
      <x:c r="G3" s="4"/>
      <x:c r="H3" s="4"/>
      <x:c r="I3" s="4"/>
      <x:c r="J3" s="4"/>
      <x:c r="K3" s="4"/>
      <x:c r="L3" s="4"/>
      <x:c r="M3" s="4"/>
      <x:c r="N3" s="4"/>
      <x:c r="O3" s="4"/>
      <x:c r="P3" s="4"/>
      <x:c r="Q3" s="4"/>
      <x:c r="R3" s="4"/>
      <x:c r="S3" s="4"/>
    </x:row>
    <x:row r="4" ht="22" customHeight="1">
      <x:c r="A4" s="2" t="str">
        <x:v>Planned challenge credit for the four quantified characters.</x:v>
      </x:c>
      <x:c r="B4" s="2"/>
      <x:c r="C4" s="2"/>
      <x:c r="D4" s="2"/>
      <x:c r="E4" s="2"/>
      <x:c r="F4" s="2"/>
      <x:c r="G4" s="2"/>
      <x:c r="H4" s="2"/>
      <x:c r="I4" s="2"/>
      <x:c r="J4" s="2"/>
      <x:c r="K4" s="2"/>
      <x:c r="L4" s="2"/>
      <x:c r="M4" s="2"/>
      <x:c r="N4" s="2"/>
      <x:c r="O4" s="2"/>
      <x:c r="P4" s="2"/>
      <x:c r="Q4" s="2"/>
      <x:c r="R4" s="2"/>
      <x:c r="S4" s="2"/>
    </x:row>
    <x:row r="5" ht="22" customHeight="1">
      <x:c r="A5" s="5" t="str">
        <x:v>The same event award applies per material contributor. No division, proximity credit, or invented worker statistics.</x:v>
      </x:c>
      <x:c r="B5" s="2"/>
      <x:c r="C5" s="2"/>
      <x:c r="D5" s="2"/>
      <x:c r="E5" s="2"/>
      <x:c r="F5" s="2"/>
      <x:c r="G5" s="2"/>
      <x:c r="H5" s="2"/>
      <x:c r="I5" s="2"/>
      <x:c r="J5" s="2"/>
      <x:c r="K5" s="2"/>
      <x:c r="L5" s="2"/>
      <x:c r="M5" s="2"/>
      <x:c r="N5" s="2"/>
      <x:c r="O5" s="2"/>
      <x:c r="P5" s="2"/>
      <x:c r="Q5" s="2"/>
      <x:c r="R5" s="2"/>
      <x:c r="S5" s="2"/>
    </x:row>
    <x:row r="6" ht="22" customHeight="1">
      <x:c r="A6" s="2"/>
      <x:c r="B6" s="2"/>
      <x:c r="C6" s="2"/>
      <x:c r="D6" s="2"/>
      <x:c r="E6" s="2"/>
      <x:c r="F6" s="2"/>
      <x:c r="G6" s="2"/>
      <x:c r="H6" s="2"/>
      <x:c r="I6" s="2"/>
      <x:c r="J6" s="2"/>
      <x:c r="K6" s="2"/>
      <x:c r="L6" s="2"/>
      <x:c r="M6" s="2"/>
      <x:c r="N6" s="2"/>
      <x:c r="O6" s="2"/>
      <x:c r="P6" s="2"/>
      <x:c r="Q6" s="2"/>
      <x:c r="R6" s="2"/>
      <x:c r="S6" s="2"/>
    </x:row>
    <x:row r="7" ht="34" customHeight="1">
      <x:c r="A7" s="14" t="str">
        <x:v>Event ID</x:v>
      </x:c>
      <x:c r="B7" s="15" t="str">
        <x:v>Ch</x:v>
      </x:c>
      <x:c r="C7" s="15" t="str">
        <x:v>Person</x:v>
      </x:c>
      <x:c r="D7" s="15" t="str">
        <x:v>Clock</x:v>
      </x:c>
      <x:c r="E7" s="15" t="str">
        <x:v>Level before</x:v>
      </x:c>
      <x:c r="F7" s="15" t="str">
        <x:v>XP before</x:v>
      </x:c>
      <x:c r="G7" s="15" t="str">
        <x:v>Award</x:v>
      </x:c>
      <x:c r="H7" s="15" t="str">
        <x:v>Total XP before</x:v>
      </x:c>
      <x:c r="I7" s="15" t="str">
        <x:v>Total XP after</x:v>
      </x:c>
      <x:c r="J7" s="15" t="str">
        <x:v>Level after</x:v>
      </x:c>
      <x:c r="K7" s="15" t="str">
        <x:v>XP after</x:v>
      </x:c>
      <x:c r="L7" s="15" t="str">
        <x:v>Next threshold</x:v>
      </x:c>
      <x:c r="M7" s="15" t="str">
        <x:v>Levels gained</x:v>
      </x:c>
      <x:c r="N7" s="15" t="str">
        <x:v>Max Mana after</x:v>
      </x:c>
      <x:c r="O7" s="15" t="str">
        <x:v>Recorded level</x:v>
      </x:c>
      <x:c r="P7" s="15" t="str">
        <x:v>Recorded XP</x:v>
      </x:c>
      <x:c r="Q7" s="15" t="str">
        <x:v>Level difference</x:v>
      </x:c>
      <x:c r="R7" s="15" t="str">
        <x:v>XP difference</x:v>
      </x:c>
      <x:c r="S7" s="16" t="str">
        <x:v>Material contribution</x:v>
      </x:c>
    </x:row>
    <x:row r="8" ht="28" customHeight="1">
      <x:c r="A8" s="2" t="str">
        <x:v>C01E06</x:v>
      </x:c>
      <x:c r="B8" s="50" t="n">
        <x:v>1</x:v>
      </x:c>
      <x:c r="C8" s="2" t="str">
        <x:v>Kip</x:v>
      </x:c>
      <x:c r="D8" s="2" t="str">
        <x:v>Day 1 08:05:00</x:v>
      </x:c>
      <x:c r="E8" s="31" t="n">
        <x:f>'Rules'!G8</x:f>
        <x:v>1</x:v>
      </x:c>
      <x:c r="F8" s="31" t="n">
        <x:f>'Rules'!H8</x:f>
        <x:v>0</x:v>
      </x:c>
      <x:c r="G8" s="31" t="n">
        <x:v>100</x:v>
      </x:c>
      <x:c r="H8" s="31" t="n">
        <x:f>IF(AND(ISNUMBER(E8),ISNUMBER(F8),ISNUMBER('Rules'!$B$11)),'Rules'!$B$11*(E8-1)*E8/2+F8,"")</x:f>
        <x:v>0</x:v>
      </x:c>
      <x:c r="I8" s="31" t="n">
        <x:f>IF(AND(ISNUMBER(H8),ISNUMBER(G8)),H8+G8,"")</x:f>
        <x:v>100</x:v>
      </x:c>
      <x:c r="J8" s="31" t="n">
        <x:f>IF(ISNUMBER(I8),INT((1+SQRT(1+8*I8/'Rules'!$B$11))/2),"")</x:f>
        <x:v>2</x:v>
      </x:c>
      <x:c r="K8" s="31" t="n">
        <x:f>IF(ISNUMBER(J8),I8-'Rules'!$B$11*(J8-1)*J8/2,"")</x:f>
        <x:v>0</x:v>
      </x:c>
      <x:c r="L8" s="31" t="n">
        <x:f>IF(ISNUMBER(J8),'Rules'!$B$11*J8,"")</x:f>
        <x:v>200</x:v>
      </x:c>
      <x:c r="M8" s="31" t="n">
        <x:f>IF(ISNUMBER(J8),J8-E8,"")</x:f>
        <x:v>1</x:v>
      </x:c>
      <x:c r="N8" s="31" t="n">
        <x:f>IF(AND(ISNUMBER(J8),ISNUMBER('Rules'!$B$8),ISNUMBER('Rules'!$B$9)),'Rules'!$B$8+'Rules'!$B$9*(J8-1),"")</x:f>
        <x:v>45</x:v>
      </x:c>
      <x:c r="O8" s="31" t="n">
        <x:v>2</x:v>
      </x:c>
      <x:c r="P8" s="31" t="n">
        <x:v>0</x:v>
      </x:c>
      <x:c r="Q8" s="31" t="n">
        <x:f>J8-O8</x:f>
        <x:v>0</x:v>
      </x:c>
      <x:c r="R8" s="31" t="n">
        <x:f>K8-P8</x:f>
        <x:v>0</x:v>
      </x:c>
      <x:c r="S8" s="19" t="str">
        <x:v>Redirects both hazards and carries litter.</x:v>
      </x:c>
    </x:row>
    <x:row r="9" ht="28" customHeight="1">
      <x:c r="A9" s="17" t="str">
        <x:v>C01E06</x:v>
      </x:c>
      <x:c r="B9" s="51" t="n">
        <x:v>1</x:v>
      </x:c>
      <x:c r="C9" s="17" t="str">
        <x:v>Tessa</x:v>
      </x:c>
      <x:c r="D9" s="17" t="str">
        <x:v>Day 1 08:05:00</x:v>
      </x:c>
      <x:c r="E9" s="42" t="n">
        <x:f>'Rules'!G9</x:f>
        <x:v>5</x:v>
      </x:c>
      <x:c r="F9" s="42" t="n">
        <x:f>'Rules'!H9</x:f>
        <x:v>0</x:v>
      </x:c>
      <x:c r="G9" s="42" t="n">
        <x:v>100</x:v>
      </x:c>
      <x:c r="H9" s="42" t="n">
        <x:f>IF(AND(ISNUMBER(E9),ISNUMBER(F9),ISNUMBER('Rules'!$B$11)),'Rules'!$B$11*(E9-1)*E9/2+F9,"")</x:f>
        <x:v>1000</x:v>
      </x:c>
      <x:c r="I9" s="42" t="n">
        <x:f>IF(AND(ISNUMBER(H9),ISNUMBER(G9)),H9+G9,"")</x:f>
        <x:v>1100</x:v>
      </x:c>
      <x:c r="J9" s="42" t="n">
        <x:f>IF(ISNUMBER(I9),INT((1+SQRT(1+8*I9/'Rules'!$B$11))/2),"")</x:f>
        <x:v>5</x:v>
      </x:c>
      <x:c r="K9" s="42" t="n">
        <x:f>IF(ISNUMBER(J9),I9-'Rules'!$B$11*(J9-1)*J9/2,"")</x:f>
        <x:v>100</x:v>
      </x:c>
      <x:c r="L9" s="42" t="n">
        <x:f>IF(ISNUMBER(J9),'Rules'!$B$11*J9,"")</x:f>
        <x:v>500</x:v>
      </x:c>
      <x:c r="M9" s="42" t="n">
        <x:f>IF(ISNUMBER(J9),J9-E9,"")</x:f>
        <x:v>0</x:v>
      </x:c>
      <x:c r="N9" s="42" t="n">
        <x:f>IF(AND(ISNUMBER(J9),ISNUMBER('Rules'!$B$8),ISNUMBER('Rules'!$B$9)),'Rules'!$B$8+'Rules'!$B$9*(J9-1),"")</x:f>
        <x:v>60</x:v>
      </x:c>
      <x:c r="O9" s="42" t="n">
        <x:v>5</x:v>
      </x:c>
      <x:c r="P9" s="42" t="n">
        <x:v>100</x:v>
      </x:c>
      <x:c r="Q9" s="42" t="n">
        <x:f>J9-O9</x:f>
        <x:v>0</x:v>
      </x:c>
      <x:c r="R9" s="42" t="n">
        <x:f>K9-P9</x:f>
        <x:v>0</x:v>
      </x:c>
      <x:c r="S9" s="20" t="str">
        <x:v>Finds and clears escape route.</x:v>
      </x:c>
    </x:row>
    <x:row r="10" ht="28" customHeight="1">
      <x:c r="A10" s="2" t="str">
        <x:v>C01E06</x:v>
      </x:c>
      <x:c r="B10" s="50" t="n">
        <x:v>1</x:v>
      </x:c>
      <x:c r="C10" s="2" t="str">
        <x:v>Owen</x:v>
      </x:c>
      <x:c r="D10" s="2" t="str">
        <x:v>Day 1 08:05:00</x:v>
      </x:c>
      <x:c r="E10" s="31" t="n">
        <x:f>'Rules'!G10</x:f>
        <x:v>9</x:v>
      </x:c>
      <x:c r="F10" s="31" t="n">
        <x:f>'Rules'!H10</x:f>
        <x:v>0</x:v>
      </x:c>
      <x:c r="G10" s="31" t="n">
        <x:v>100</x:v>
      </x:c>
      <x:c r="H10" s="31" t="n">
        <x:f>IF(AND(ISNUMBER(E10),ISNUMBER(F10),ISNUMBER('Rules'!$B$11)),'Rules'!$B$11*(E10-1)*E10/2+F10,"")</x:f>
        <x:v>3600</x:v>
      </x:c>
      <x:c r="I10" s="31" t="n">
        <x:f>IF(AND(ISNUMBER(H10),ISNUMBER(G10)),H10+G10,"")</x:f>
        <x:v>3700</x:v>
      </x:c>
      <x:c r="J10" s="31" t="n">
        <x:f>IF(ISNUMBER(I10),INT((1+SQRT(1+8*I10/'Rules'!$B$11))/2),"")</x:f>
        <x:v>9</x:v>
      </x:c>
      <x:c r="K10" s="31" t="n">
        <x:f>IF(ISNUMBER(J10),I10-'Rules'!$B$11*(J10-1)*J10/2,"")</x:f>
        <x:v>100</x:v>
      </x:c>
      <x:c r="L10" s="31" t="n">
        <x:f>IF(ISNUMBER(J10),'Rules'!$B$11*J10,"")</x:f>
        <x:v>900</x:v>
      </x:c>
      <x:c r="M10" s="31" t="n">
        <x:f>IF(ISNUMBER(J10),J10-E10,"")</x:f>
        <x:v>0</x:v>
      </x:c>
      <x:c r="N10" s="31" t="n">
        <x:f>IF(AND(ISNUMBER(J10),ISNUMBER('Rules'!$B$8),ISNUMBER('Rules'!$B$9)),'Rules'!$B$8+'Rules'!$B$9*(J10-1),"")</x:f>
        <x:v>80</x:v>
      </x:c>
      <x:c r="O10" s="31" t="n">
        <x:v>9</x:v>
      </x:c>
      <x:c r="P10" s="31" t="n">
        <x:v>100</x:v>
      </x:c>
      <x:c r="Q10" s="31" t="n">
        <x:f>J10-O10</x:f>
        <x:v>0</x:v>
      </x:c>
      <x:c r="R10" s="31" t="n">
        <x:f>K10-P10</x:f>
        <x:v>0</x:v>
      </x:c>
      <x:c r="S10" s="19" t="str">
        <x:v>Mends wound and moves patient.</x:v>
      </x:c>
    </x:row>
    <x:row r="11" ht="28" customHeight="1">
      <x:c r="A11" s="17" t="str">
        <x:v>C01E06</x:v>
      </x:c>
      <x:c r="B11" s="51" t="n">
        <x:v>1</x:v>
      </x:c>
      <x:c r="C11" s="17" t="str">
        <x:v>Dane</x:v>
      </x:c>
      <x:c r="D11" s="17" t="str">
        <x:v>Day 1 08:05:00</x:v>
      </x:c>
      <x:c r="E11" s="42" t="n">
        <x:f>'Rules'!G11</x:f>
        <x:v>9</x:v>
      </x:c>
      <x:c r="F11" s="42" t="n">
        <x:f>'Rules'!H11</x:f>
        <x:v>0</x:v>
      </x:c>
      <x:c r="G11" s="42" t="n">
        <x:v>100</x:v>
      </x:c>
      <x:c r="H11" s="42" t="n">
        <x:f>IF(AND(ISNUMBER(E11),ISNUMBER(F11),ISNUMBER('Rules'!$B$11)),'Rules'!$B$11*(E11-1)*E11/2+F11,"")</x:f>
        <x:v>3600</x:v>
      </x:c>
      <x:c r="I11" s="42" t="n">
        <x:f>IF(AND(ISNUMBER(H11),ISNUMBER(G11)),H11+G11,"")</x:f>
        <x:v>3700</x:v>
      </x:c>
      <x:c r="J11" s="42" t="n">
        <x:f>IF(ISNUMBER(I11),INT((1+SQRT(1+8*I11/'Rules'!$B$11))/2),"")</x:f>
        <x:v>9</x:v>
      </x:c>
      <x:c r="K11" s="42" t="n">
        <x:f>IF(ISNUMBER(J11),I11-'Rules'!$B$11*(J11-1)*J11/2,"")</x:f>
        <x:v>100</x:v>
      </x:c>
      <x:c r="L11" s="42" t="n">
        <x:f>IF(ISNUMBER(J11),'Rules'!$B$11*J11,"")</x:f>
        <x:v>900</x:v>
      </x:c>
      <x:c r="M11" s="42" t="n">
        <x:f>IF(ISNUMBER(J11),J11-E11,"")</x:f>
        <x:v>0</x:v>
      </x:c>
      <x:c r="N11" s="42" t="n">
        <x:f>IF(AND(ISNUMBER(J11),ISNUMBER('Rules'!$B$8),ISNUMBER('Rules'!$B$9)),'Rules'!$B$8+'Rules'!$B$9*(J11-1),"")</x:f>
        <x:v>80</x:v>
      </x:c>
      <x:c r="O11" s="42" t="n">
        <x:v>9</x:v>
      </x:c>
      <x:c r="P11" s="42" t="n">
        <x:v>100</x:v>
      </x:c>
      <x:c r="Q11" s="42" t="n">
        <x:f>J11-O11</x:f>
        <x:v>0</x:v>
      </x:c>
      <x:c r="R11" s="42" t="n">
        <x:f>K11-P11</x:f>
        <x:v>0</x:v>
      </x:c>
      <x:c r="S11" s="20" t="str">
        <x:v>Holds pursuer off during retreat.</x:v>
      </x:c>
    </x:row>
    <x:row r="12" ht="28" customHeight="1">
      <x:c r="A12" s="2" t="str">
        <x:v>C03E05</x:v>
      </x:c>
      <x:c r="B12" s="50" t="n">
        <x:v>3</x:v>
      </x:c>
      <x:c r="C12" s="2" t="str">
        <x:v>Kip</x:v>
      </x:c>
      <x:c r="D12" s="2" t="str">
        <x:v>Day 1 09:55:00</x:v>
      </x:c>
      <x:c r="E12" s="31" t="n">
        <x:f>J8</x:f>
        <x:v>2</x:v>
      </x:c>
      <x:c r="F12" s="31" t="n">
        <x:f>K8</x:f>
        <x:v>0</x:v>
      </x:c>
      <x:c r="G12" s="31" t="n">
        <x:v>100</x:v>
      </x:c>
      <x:c r="H12" s="31" t="n">
        <x:f>IF(AND(ISNUMBER(E12),ISNUMBER(F12),ISNUMBER('Rules'!$B$11)),'Rules'!$B$11*(E12-1)*E12/2+F12,"")</x:f>
        <x:v>100</x:v>
      </x:c>
      <x:c r="I12" s="31" t="n">
        <x:f>IF(AND(ISNUMBER(H12),ISNUMBER(G12)),H12+G12,"")</x:f>
        <x:v>200</x:v>
      </x:c>
      <x:c r="J12" s="31" t="n">
        <x:f>IF(ISNUMBER(I12),INT((1+SQRT(1+8*I12/'Rules'!$B$11))/2),"")</x:f>
        <x:v>2</x:v>
      </x:c>
      <x:c r="K12" s="31" t="n">
        <x:f>IF(ISNUMBER(J12),I12-'Rules'!$B$11*(J12-1)*J12/2,"")</x:f>
        <x:v>100</x:v>
      </x:c>
      <x:c r="L12" s="31" t="n">
        <x:f>IF(ISNUMBER(J12),'Rules'!$B$11*J12,"")</x:f>
        <x:v>200</x:v>
      </x:c>
      <x:c r="M12" s="31" t="n">
        <x:f>IF(ISNUMBER(J12),J12-E12,"")</x:f>
        <x:v>0</x:v>
      </x:c>
      <x:c r="N12" s="31" t="n">
        <x:f>IF(AND(ISNUMBER(J12),ISNUMBER('Rules'!$B$8),ISNUMBER('Rules'!$B$9)),'Rules'!$B$8+'Rules'!$B$9*(J12-1),"")</x:f>
        <x:v>45</x:v>
      </x:c>
      <x:c r="O12" s="31" t="n">
        <x:v>2</x:v>
      </x:c>
      <x:c r="P12" s="31" t="n">
        <x:v>100</x:v>
      </x:c>
      <x:c r="Q12" s="31" t="n">
        <x:f>J12-O12</x:f>
        <x:v>0</x:v>
      </x:c>
      <x:c r="R12" s="31" t="n">
        <x:f>K12-P12</x:f>
        <x:v>0</x:v>
      </x:c>
      <x:c r="S12" s="19" t="str">
        <x:v>Places Ward and helps move litter.</x:v>
      </x:c>
    </x:row>
    <x:row r="13" ht="28" customHeight="1">
      <x:c r="A13" s="17" t="str">
        <x:v>C03E05</x:v>
      </x:c>
      <x:c r="B13" s="51" t="n">
        <x:v>3</x:v>
      </x:c>
      <x:c r="C13" s="17" t="str">
        <x:v>Tessa</x:v>
      </x:c>
      <x:c r="D13" s="17" t="str">
        <x:v>Day 1 09:55:00</x:v>
      </x:c>
      <x:c r="E13" s="42" t="n">
        <x:f>J9</x:f>
        <x:v>5</x:v>
      </x:c>
      <x:c r="F13" s="42" t="n">
        <x:f>K9</x:f>
        <x:v>100</x:v>
      </x:c>
      <x:c r="G13" s="42" t="n">
        <x:v>100</x:v>
      </x:c>
      <x:c r="H13" s="42" t="n">
        <x:f>IF(AND(ISNUMBER(E13),ISNUMBER(F13),ISNUMBER('Rules'!$B$11)),'Rules'!$B$11*(E13-1)*E13/2+F13,"")</x:f>
        <x:v>1100</x:v>
      </x:c>
      <x:c r="I13" s="42" t="n">
        <x:f>IF(AND(ISNUMBER(H13),ISNUMBER(G13)),H13+G13,"")</x:f>
        <x:v>1200</x:v>
      </x:c>
      <x:c r="J13" s="42" t="n">
        <x:f>IF(ISNUMBER(I13),INT((1+SQRT(1+8*I13/'Rules'!$B$11))/2),"")</x:f>
        <x:v>5</x:v>
      </x:c>
      <x:c r="K13" s="42" t="n">
        <x:f>IF(ISNUMBER(J13),I13-'Rules'!$B$11*(J13-1)*J13/2,"")</x:f>
        <x:v>200</x:v>
      </x:c>
      <x:c r="L13" s="42" t="n">
        <x:f>IF(ISNUMBER(J13),'Rules'!$B$11*J13,"")</x:f>
        <x:v>500</x:v>
      </x:c>
      <x:c r="M13" s="42" t="n">
        <x:f>IF(ISNUMBER(J13),J13-E13,"")</x:f>
        <x:v>0</x:v>
      </x:c>
      <x:c r="N13" s="42" t="n">
        <x:f>IF(AND(ISNUMBER(J13),ISNUMBER('Rules'!$B$8),ISNUMBER('Rules'!$B$9)),'Rules'!$B$8+'Rules'!$B$9*(J13-1),"")</x:f>
        <x:v>60</x:v>
      </x:c>
      <x:c r="O13" s="42" t="n">
        <x:v>5</x:v>
      </x:c>
      <x:c r="P13" s="42" t="n">
        <x:v>200</x:v>
      </x:c>
      <x:c r="Q13" s="42" t="n">
        <x:f>J13-O13</x:f>
        <x:v>0</x:v>
      </x:c>
      <x:c r="R13" s="42" t="n">
        <x:f>K13-P13</x:f>
        <x:v>0</x:v>
      </x:c>
      <x:c r="S13" s="20" t="str">
        <x:v>Finds passable route and marks hazard.</x:v>
      </x:c>
    </x:row>
    <x:row r="14" ht="28" customHeight="1">
      <x:c r="A14" s="2" t="str">
        <x:v>C03E05</x:v>
      </x:c>
      <x:c r="B14" s="50" t="n">
        <x:v>3</x:v>
      </x:c>
      <x:c r="C14" s="2" t="str">
        <x:v>Owen</x:v>
      </x:c>
      <x:c r="D14" s="2" t="str">
        <x:v>Day 1 09:55:00</x:v>
      </x:c>
      <x:c r="E14" s="31" t="n">
        <x:f>J10</x:f>
        <x:v>9</x:v>
      </x:c>
      <x:c r="F14" s="31" t="n">
        <x:f>K10</x:f>
        <x:v>100</x:v>
      </x:c>
      <x:c r="G14" s="31" t="n">
        <x:v>100</x:v>
      </x:c>
      <x:c r="H14" s="31" t="n">
        <x:f>IF(AND(ISNUMBER(E14),ISNUMBER(F14),ISNUMBER('Rules'!$B$11)),'Rules'!$B$11*(E14-1)*E14/2+F14,"")</x:f>
        <x:v>3700</x:v>
      </x:c>
      <x:c r="I14" s="31" t="n">
        <x:f>IF(AND(ISNUMBER(H14),ISNUMBER(G14)),H14+G14,"")</x:f>
        <x:v>3800</x:v>
      </x:c>
      <x:c r="J14" s="31" t="n">
        <x:f>IF(ISNUMBER(I14),INT((1+SQRT(1+8*I14/'Rules'!$B$11))/2),"")</x:f>
        <x:v>9</x:v>
      </x:c>
      <x:c r="K14" s="31" t="n">
        <x:f>IF(ISNUMBER(J14),I14-'Rules'!$B$11*(J14-1)*J14/2,"")</x:f>
        <x:v>200</x:v>
      </x:c>
      <x:c r="L14" s="31" t="n">
        <x:f>IF(ISNUMBER(J14),'Rules'!$B$11*J14,"")</x:f>
        <x:v>900</x:v>
      </x:c>
      <x:c r="M14" s="31" t="n">
        <x:f>IF(ISNUMBER(J14),J14-E14,"")</x:f>
        <x:v>0</x:v>
      </x:c>
      <x:c r="N14" s="31" t="n">
        <x:f>IF(AND(ISNUMBER(J14),ISNUMBER('Rules'!$B$8),ISNUMBER('Rules'!$B$9)),'Rules'!$B$8+'Rules'!$B$9*(J14-1),"")</x:f>
        <x:v>80</x:v>
      </x:c>
      <x:c r="O14" s="31" t="n">
        <x:v>9</x:v>
      </x:c>
      <x:c r="P14" s="31" t="n">
        <x:v>200</x:v>
      </x:c>
      <x:c r="Q14" s="31" t="n">
        <x:f>J14-O14</x:f>
        <x:v>0</x:v>
      </x:c>
      <x:c r="R14" s="31" t="n">
        <x:f>K14-P14</x:f>
        <x:v>0</x:v>
      </x:c>
      <x:c r="S14" s="19" t="str">
        <x:v>Stabilizes fresh injury and directs patient movement.</x:v>
      </x:c>
    </x:row>
    <x:row r="15" ht="28" customHeight="1">
      <x:c r="A15" s="17" t="str">
        <x:v>C03E05</x:v>
      </x:c>
      <x:c r="B15" s="51" t="n">
        <x:v>3</x:v>
      </x:c>
      <x:c r="C15" s="17" t="str">
        <x:v>Dane</x:v>
      </x:c>
      <x:c r="D15" s="17" t="str">
        <x:v>Day 1 09:55:00</x:v>
      </x:c>
      <x:c r="E15" s="42" t="n">
        <x:f>J11</x:f>
        <x:v>9</x:v>
      </x:c>
      <x:c r="F15" s="42" t="n">
        <x:f>K11</x:f>
        <x:v>100</x:v>
      </x:c>
      <x:c r="G15" s="42" t="n">
        <x:v>100</x:v>
      </x:c>
      <x:c r="H15" s="42" t="n">
        <x:f>IF(AND(ISNUMBER(E15),ISNUMBER(F15),ISNUMBER('Rules'!$B$11)),'Rules'!$B$11*(E15-1)*E15/2+F15,"")</x:f>
        <x:v>3700</x:v>
      </x:c>
      <x:c r="I15" s="42" t="n">
        <x:f>IF(AND(ISNUMBER(H15),ISNUMBER(G15)),H15+G15,"")</x:f>
        <x:v>3800</x:v>
      </x:c>
      <x:c r="J15" s="42" t="n">
        <x:f>IF(ISNUMBER(I15),INT((1+SQRT(1+8*I15/'Rules'!$B$11))/2),"")</x:f>
        <x:v>9</x:v>
      </x:c>
      <x:c r="K15" s="42" t="n">
        <x:f>IF(ISNUMBER(J15),I15-'Rules'!$B$11*(J15-1)*J15/2,"")</x:f>
        <x:v>200</x:v>
      </x:c>
      <x:c r="L15" s="42" t="n">
        <x:f>IF(ISNUMBER(J15),'Rules'!$B$11*J15,"")</x:f>
        <x:v>900</x:v>
      </x:c>
      <x:c r="M15" s="42" t="n">
        <x:f>IF(ISNUMBER(J15),J15-E15,"")</x:f>
        <x:v>0</x:v>
      </x:c>
      <x:c r="N15" s="42" t="n">
        <x:f>IF(AND(ISNUMBER(J15),ISNUMBER('Rules'!$B$8),ISNUMBER('Rules'!$B$9)),'Rules'!$B$8+'Rules'!$B$9*(J15-1),"")</x:f>
        <x:v>80</x:v>
      </x:c>
      <x:c r="O15" s="42" t="n">
        <x:v>9</x:v>
      </x:c>
      <x:c r="P15" s="42" t="n">
        <x:v>200</x:v>
      </x:c>
      <x:c r="Q15" s="42" t="n">
        <x:f>J15-O15</x:f>
        <x:v>0</x:v>
      </x:c>
      <x:c r="R15" s="42" t="n">
        <x:f>K15-P15</x:f>
        <x:v>0</x:v>
      </x:c>
      <x:c r="S15" s="20" t="str">
        <x:v>Intercepts debris threatening litter.</x:v>
      </x:c>
    </x:row>
    <x:row r="16" ht="28" customHeight="1">
      <x:c r="A16" s="2" t="str">
        <x:v>C04E07</x:v>
      </x:c>
      <x:c r="B16" s="50" t="n">
        <x:v>4</x:v>
      </x:c>
      <x:c r="C16" s="2" t="str">
        <x:v>Kip</x:v>
      </x:c>
      <x:c r="D16" s="2" t="str">
        <x:v>Day 1 10:25:00</x:v>
      </x:c>
      <x:c r="E16" s="31" t="n">
        <x:f>J12</x:f>
        <x:v>2</x:v>
      </x:c>
      <x:c r="F16" s="31" t="n">
        <x:f>K12</x:f>
        <x:v>100</x:v>
      </x:c>
      <x:c r="G16" s="31" t="n">
        <x:v>300</x:v>
      </x:c>
      <x:c r="H16" s="31" t="n">
        <x:f>IF(AND(ISNUMBER(E16),ISNUMBER(F16),ISNUMBER('Rules'!$B$11)),'Rules'!$B$11*(E16-1)*E16/2+F16,"")</x:f>
        <x:v>200</x:v>
      </x:c>
      <x:c r="I16" s="31" t="n">
        <x:f>IF(AND(ISNUMBER(H16),ISNUMBER(G16)),H16+G16,"")</x:f>
        <x:v>500</x:v>
      </x:c>
      <x:c r="J16" s="31" t="n">
        <x:f>IF(ISNUMBER(I16),INT((1+SQRT(1+8*I16/'Rules'!$B$11))/2),"")</x:f>
        <x:v>3</x:v>
      </x:c>
      <x:c r="K16" s="31" t="n">
        <x:f>IF(ISNUMBER(J16),I16-'Rules'!$B$11*(J16-1)*J16/2,"")</x:f>
        <x:v>200</x:v>
      </x:c>
      <x:c r="L16" s="31" t="n">
        <x:f>IF(ISNUMBER(J16),'Rules'!$B$11*J16,"")</x:f>
        <x:v>300</x:v>
      </x:c>
      <x:c r="M16" s="31" t="n">
        <x:f>IF(ISNUMBER(J16),J16-E16,"")</x:f>
        <x:v>1</x:v>
      </x:c>
      <x:c r="N16" s="31" t="n">
        <x:f>IF(AND(ISNUMBER(J16),ISNUMBER('Rules'!$B$8),ISNUMBER('Rules'!$B$9)),'Rules'!$B$8+'Rules'!$B$9*(J16-1),"")</x:f>
        <x:v>50</x:v>
      </x:c>
      <x:c r="O16" s="31" t="n">
        <x:v>3</x:v>
      </x:c>
      <x:c r="P16" s="31" t="n">
        <x:v>200</x:v>
      </x:c>
      <x:c r="Q16" s="31" t="n">
        <x:f>J16-O16</x:f>
        <x:v>0</x:v>
      </x:c>
      <x:c r="R16" s="31" t="n">
        <x:f>K16-P16</x:f>
        <x:v>0</x:v>
      </x:c>
      <x:c r="S16" s="19" t="str">
        <x:v>Controls launcher and covers withdrawal.</x:v>
      </x:c>
    </x:row>
    <x:row r="17" ht="28" customHeight="1">
      <x:c r="A17" s="17" t="str">
        <x:v>C04E07</x:v>
      </x:c>
      <x:c r="B17" s="51" t="n">
        <x:v>4</x:v>
      </x:c>
      <x:c r="C17" s="17" t="str">
        <x:v>Tessa</x:v>
      </x:c>
      <x:c r="D17" s="17" t="str">
        <x:v>Day 1 10:25:00</x:v>
      </x:c>
      <x:c r="E17" s="42" t="n">
        <x:f>J13</x:f>
        <x:v>5</x:v>
      </x:c>
      <x:c r="F17" s="42" t="n">
        <x:f>K13</x:f>
        <x:v>200</x:v>
      </x:c>
      <x:c r="G17" s="42" t="n">
        <x:v>300</x:v>
      </x:c>
      <x:c r="H17" s="42" t="n">
        <x:f>IF(AND(ISNUMBER(E17),ISNUMBER(F17),ISNUMBER('Rules'!$B$11)),'Rules'!$B$11*(E17-1)*E17/2+F17,"")</x:f>
        <x:v>1200</x:v>
      </x:c>
      <x:c r="I17" s="42" t="n">
        <x:f>IF(AND(ISNUMBER(H17),ISNUMBER(G17)),H17+G17,"")</x:f>
        <x:v>1500</x:v>
      </x:c>
      <x:c r="J17" s="42" t="n">
        <x:f>IF(ISNUMBER(I17),INT((1+SQRT(1+8*I17/'Rules'!$B$11))/2),"")</x:f>
        <x:v>6</x:v>
      </x:c>
      <x:c r="K17" s="42" t="n">
        <x:f>IF(ISNUMBER(J17),I17-'Rules'!$B$11*(J17-1)*J17/2,"")</x:f>
        <x:v>0</x:v>
      </x:c>
      <x:c r="L17" s="42" t="n">
        <x:f>IF(ISNUMBER(J17),'Rules'!$B$11*J17,"")</x:f>
        <x:v>600</x:v>
      </x:c>
      <x:c r="M17" s="42" t="n">
        <x:f>IF(ISNUMBER(J17),J17-E17,"")</x:f>
        <x:v>1</x:v>
      </x:c>
      <x:c r="N17" s="42" t="n">
        <x:f>IF(AND(ISNUMBER(J17),ISNUMBER('Rules'!$B$8),ISNUMBER('Rules'!$B$9)),'Rules'!$B$8+'Rules'!$B$9*(J17-1),"")</x:f>
        <x:v>65</x:v>
      </x:c>
      <x:c r="O17" s="42" t="n">
        <x:v>6</x:v>
      </x:c>
      <x:c r="P17" s="42" t="n">
        <x:v>0</x:v>
      </x:c>
      <x:c r="Q17" s="42" t="n">
        <x:f>J17-O17</x:f>
        <x:v>0</x:v>
      </x:c>
      <x:c r="R17" s="42" t="n">
        <x:f>K17-P17</x:f>
        <x:v>0</x:v>
      </x:c>
      <x:c r="S17" s="20" t="str">
        <x:v>Scouts defense and secures escape lane.</x:v>
      </x:c>
    </x:row>
    <x:row r="18" ht="28" customHeight="1">
      <x:c r="A18" s="2" t="str">
        <x:v>C04E07</x:v>
      </x:c>
      <x:c r="B18" s="50" t="n">
        <x:v>4</x:v>
      </x:c>
      <x:c r="C18" s="2" t="str">
        <x:v>Owen</x:v>
      </x:c>
      <x:c r="D18" s="2" t="str">
        <x:v>Day 1 10:25:00</x:v>
      </x:c>
      <x:c r="E18" s="31" t="n">
        <x:f>J14</x:f>
        <x:v>9</x:v>
      </x:c>
      <x:c r="F18" s="31" t="n">
        <x:f>K14</x:f>
        <x:v>200</x:v>
      </x:c>
      <x:c r="G18" s="31" t="n">
        <x:v>300</x:v>
      </x:c>
      <x:c r="H18" s="31" t="n">
        <x:f>IF(AND(ISNUMBER(E18),ISNUMBER(F18),ISNUMBER('Rules'!$B$11)),'Rules'!$B$11*(E18-1)*E18/2+F18,"")</x:f>
        <x:v>3800</x:v>
      </x:c>
      <x:c r="I18" s="31" t="n">
        <x:f>IF(AND(ISNUMBER(H18),ISNUMBER(G18)),H18+G18,"")</x:f>
        <x:v>4100</x:v>
      </x:c>
      <x:c r="J18" s="31" t="n">
        <x:f>IF(ISNUMBER(I18),INT((1+SQRT(1+8*I18/'Rules'!$B$11))/2),"")</x:f>
        <x:v>9</x:v>
      </x:c>
      <x:c r="K18" s="31" t="n">
        <x:f>IF(ISNUMBER(J18),I18-'Rules'!$B$11*(J18-1)*J18/2,"")</x:f>
        <x:v>500</x:v>
      </x:c>
      <x:c r="L18" s="31" t="n">
        <x:f>IF(ISNUMBER(J18),'Rules'!$B$11*J18,"")</x:f>
        <x:v>900</x:v>
      </x:c>
      <x:c r="M18" s="31" t="n">
        <x:f>IF(ISNUMBER(J18),J18-E18,"")</x:f>
        <x:v>0</x:v>
      </x:c>
      <x:c r="N18" s="31" t="n">
        <x:f>IF(AND(ISNUMBER(J18),ISNUMBER('Rules'!$B$8),ISNUMBER('Rules'!$B$9)),'Rules'!$B$8+'Rules'!$B$9*(J18-1),"")</x:f>
        <x:v>80</x:v>
      </x:c>
      <x:c r="O18" s="31" t="n">
        <x:v>9</x:v>
      </x:c>
      <x:c r="P18" s="31" t="n">
        <x:v>500</x:v>
      </x:c>
      <x:c r="Q18" s="31" t="n">
        <x:f>J18-O18</x:f>
        <x:v>0</x:v>
      </x:c>
      <x:c r="R18" s="31" t="n">
        <x:f>K18-P18</x:f>
        <x:v>0</x:v>
      </x:c>
      <x:c r="S18" s="19" t="str">
        <x:v>Treats wound essential to safe movement and maintains litter.</x:v>
      </x:c>
    </x:row>
    <x:row r="19" ht="28" customHeight="1">
      <x:c r="A19" s="17" t="str">
        <x:v>C04E07</x:v>
      </x:c>
      <x:c r="B19" s="51" t="n">
        <x:v>4</x:v>
      </x:c>
      <x:c r="C19" s="17" t="str">
        <x:v>Dane</x:v>
      </x:c>
      <x:c r="D19" s="17" t="str">
        <x:v>Day 1 10:25:00</x:v>
      </x:c>
      <x:c r="E19" s="42" t="n">
        <x:f>J15</x:f>
        <x:v>9</x:v>
      </x:c>
      <x:c r="F19" s="42" t="n">
        <x:f>K15</x:f>
        <x:v>200</x:v>
      </x:c>
      <x:c r="G19" s="42" t="n">
        <x:v>300</x:v>
      </x:c>
      <x:c r="H19" s="42" t="n">
        <x:f>IF(AND(ISNUMBER(E19),ISNUMBER(F19),ISNUMBER('Rules'!$B$11)),'Rules'!$B$11*(E19-1)*E19/2+F19,"")</x:f>
        <x:v>3800</x:v>
      </x:c>
      <x:c r="I19" s="42" t="n">
        <x:f>IF(AND(ISNUMBER(H19),ISNUMBER(G19)),H19+G19,"")</x:f>
        <x:v>4100</x:v>
      </x:c>
      <x:c r="J19" s="42" t="n">
        <x:f>IF(ISNUMBER(I19),INT((1+SQRT(1+8*I19/'Rules'!$B$11))/2),"")</x:f>
        <x:v>9</x:v>
      </x:c>
      <x:c r="K19" s="42" t="n">
        <x:f>IF(ISNUMBER(J19),I19-'Rules'!$B$11*(J19-1)*J19/2,"")</x:f>
        <x:v>500</x:v>
      </x:c>
      <x:c r="L19" s="42" t="n">
        <x:f>IF(ISNUMBER(J19),'Rules'!$B$11*J19,"")</x:f>
        <x:v>900</x:v>
      </x:c>
      <x:c r="M19" s="42" t="n">
        <x:f>IF(ISNUMBER(J19),J19-E19,"")</x:f>
        <x:v>0</x:v>
      </x:c>
      <x:c r="N19" s="42" t="n">
        <x:f>IF(AND(ISNUMBER(J19),ISNUMBER('Rules'!$B$8),ISNUMBER('Rules'!$B$9)),'Rules'!$B$8+'Rules'!$B$9*(J19-1),"")</x:f>
        <x:v>80</x:v>
      </x:c>
      <x:c r="O19" s="42" t="n">
        <x:v>9</x:v>
      </x:c>
      <x:c r="P19" s="42" t="n">
        <x:v>500</x:v>
      </x:c>
      <x:c r="Q19" s="42" t="n">
        <x:f>J19-O19</x:f>
        <x:v>0</x:v>
      </x:c>
      <x:c r="R19" s="42" t="n">
        <x:f>K19-P19</x:f>
        <x:v>0</x:v>
      </x:c>
      <x:c r="S19" s="20" t="str">
        <x:v>Holds attacking guards during retreat.</x:v>
      </x:c>
    </x:row>
    <x:row r="20" ht="28" customHeight="1">
      <x:c r="A20" s="2" t="str">
        <x:v>C05E07</x:v>
      </x:c>
      <x:c r="B20" s="50" t="n">
        <x:v>5</x:v>
      </x:c>
      <x:c r="C20" s="2" t="str">
        <x:v>Kip</x:v>
      </x:c>
      <x:c r="D20" s="2" t="str">
        <x:v>Day 1 12:15:00</x:v>
      </x:c>
      <x:c r="E20" s="31" t="n">
        <x:f>J16</x:f>
        <x:v>3</x:v>
      </x:c>
      <x:c r="F20" s="31" t="n">
        <x:f>K16</x:f>
        <x:v>200</x:v>
      </x:c>
      <x:c r="G20" s="31" t="n">
        <x:v>300</x:v>
      </x:c>
      <x:c r="H20" s="31" t="n">
        <x:f>IF(AND(ISNUMBER(E20),ISNUMBER(F20),ISNUMBER('Rules'!$B$11)),'Rules'!$B$11*(E20-1)*E20/2+F20,"")</x:f>
        <x:v>500</x:v>
      </x:c>
      <x:c r="I20" s="31" t="n">
        <x:f>IF(AND(ISNUMBER(H20),ISNUMBER(G20)),H20+G20,"")</x:f>
        <x:v>800</x:v>
      </x:c>
      <x:c r="J20" s="31" t="n">
        <x:f>IF(ISNUMBER(I20),INT((1+SQRT(1+8*I20/'Rules'!$B$11))/2),"")</x:f>
        <x:v>4</x:v>
      </x:c>
      <x:c r="K20" s="31" t="n">
        <x:f>IF(ISNUMBER(J20),I20-'Rules'!$B$11*(J20-1)*J20/2,"")</x:f>
        <x:v>200</x:v>
      </x:c>
      <x:c r="L20" s="31" t="n">
        <x:f>IF(ISNUMBER(J20),'Rules'!$B$11*J20,"")</x:f>
        <x:v>400</x:v>
      </x:c>
      <x:c r="M20" s="31" t="n">
        <x:f>IF(ISNUMBER(J20),J20-E20,"")</x:f>
        <x:v>1</x:v>
      </x:c>
      <x:c r="N20" s="31" t="n">
        <x:f>IF(AND(ISNUMBER(J20),ISNUMBER('Rules'!$B$8),ISNUMBER('Rules'!$B$9)),'Rules'!$B$8+'Rules'!$B$9*(J20-1),"")</x:f>
        <x:v>55</x:v>
      </x:c>
      <x:c r="O20" s="31" t="n">
        <x:v>4</x:v>
      </x:c>
      <x:c r="P20" s="31" t="n">
        <x:v>200</x:v>
      </x:c>
      <x:c r="Q20" s="31" t="n">
        <x:f>J20-O20</x:f>
        <x:v>0</x:v>
      </x:c>
      <x:c r="R20" s="31" t="n">
        <x:f>K20-P20</x:f>
        <x:v>0</x:v>
      </x:c>
      <x:c r="S20" s="19" t="str">
        <x:v>Coordinates exit and deflects lunge.</x:v>
      </x:c>
    </x:row>
    <x:row r="21" ht="28" customHeight="1">
      <x:c r="A21" s="17" t="str">
        <x:v>C05E07</x:v>
      </x:c>
      <x:c r="B21" s="51" t="n">
        <x:v>5</x:v>
      </x:c>
      <x:c r="C21" s="17" t="str">
        <x:v>Tessa</x:v>
      </x:c>
      <x:c r="D21" s="17" t="str">
        <x:v>Day 1 12:15:00</x:v>
      </x:c>
      <x:c r="E21" s="42" t="n">
        <x:f>J17</x:f>
        <x:v>6</x:v>
      </x:c>
      <x:c r="F21" s="42" t="n">
        <x:f>K17</x:f>
        <x:v>0</x:v>
      </x:c>
      <x:c r="G21" s="42" t="n">
        <x:v>300</x:v>
      </x:c>
      <x:c r="H21" s="42" t="n">
        <x:f>IF(AND(ISNUMBER(E21),ISNUMBER(F21),ISNUMBER('Rules'!$B$11)),'Rules'!$B$11*(E21-1)*E21/2+F21,"")</x:f>
        <x:v>1500</x:v>
      </x:c>
      <x:c r="I21" s="42" t="n">
        <x:f>IF(AND(ISNUMBER(H21),ISNUMBER(G21)),H21+G21,"")</x:f>
        <x:v>1800</x:v>
      </x:c>
      <x:c r="J21" s="42" t="n">
        <x:f>IF(ISNUMBER(I21),INT((1+SQRT(1+8*I21/'Rules'!$B$11))/2),"")</x:f>
        <x:v>6</x:v>
      </x:c>
      <x:c r="K21" s="42" t="n">
        <x:f>IF(ISNUMBER(J21),I21-'Rules'!$B$11*(J21-1)*J21/2,"")</x:f>
        <x:v>300</x:v>
      </x:c>
      <x:c r="L21" s="42" t="n">
        <x:f>IF(ISNUMBER(J21),'Rules'!$B$11*J21,"")</x:f>
        <x:v>600</x:v>
      </x:c>
      <x:c r="M21" s="42" t="n">
        <x:f>IF(ISNUMBER(J21),J21-E21,"")</x:f>
        <x:v>0</x:v>
      </x:c>
      <x:c r="N21" s="42" t="n">
        <x:f>IF(AND(ISNUMBER(J21),ISNUMBER('Rules'!$B$8),ISNUMBER('Rules'!$B$9)),'Rules'!$B$8+'Rules'!$B$9*(J21-1),"")</x:f>
        <x:v>65</x:v>
      </x:c>
      <x:c r="O21" s="42" t="n">
        <x:v>6</x:v>
      </x:c>
      <x:c r="P21" s="42" t="n">
        <x:v>300</x:v>
      </x:c>
      <x:c r="Q21" s="42" t="n">
        <x:f>J21-O21</x:f>
        <x:v>0</x:v>
      </x:c>
      <x:c r="R21" s="42" t="n">
        <x:f>K21-P21</x:f>
        <x:v>0</x:v>
      </x:c>
      <x:c r="S21" s="20" t="str">
        <x:v>Finds safe path through nesting territory.</x:v>
      </x:c>
    </x:row>
    <x:row r="22" ht="28" customHeight="1">
      <x:c r="A22" s="2" t="str">
        <x:v>C05E07</x:v>
      </x:c>
      <x:c r="B22" s="50" t="n">
        <x:v>5</x:v>
      </x:c>
      <x:c r="C22" s="2" t="str">
        <x:v>Owen</x:v>
      </x:c>
      <x:c r="D22" s="2" t="str">
        <x:v>Day 1 12:15:00</x:v>
      </x:c>
      <x:c r="E22" s="31" t="n">
        <x:f>J18</x:f>
        <x:v>9</x:v>
      </x:c>
      <x:c r="F22" s="31" t="n">
        <x:f>K18</x:f>
        <x:v>500</x:v>
      </x:c>
      <x:c r="G22" s="31" t="n">
        <x:v>300</x:v>
      </x:c>
      <x:c r="H22" s="31" t="n">
        <x:f>IF(AND(ISNUMBER(E22),ISNUMBER(F22),ISNUMBER('Rules'!$B$11)),'Rules'!$B$11*(E22-1)*E22/2+F22,"")</x:f>
        <x:v>4100</x:v>
      </x:c>
      <x:c r="I22" s="31" t="n">
        <x:f>IF(AND(ISNUMBER(H22),ISNUMBER(G22)),H22+G22,"")</x:f>
        <x:v>4400</x:v>
      </x:c>
      <x:c r="J22" s="31" t="n">
        <x:f>IF(ISNUMBER(I22),INT((1+SQRT(1+8*I22/'Rules'!$B$11))/2),"")</x:f>
        <x:v>9</x:v>
      </x:c>
      <x:c r="K22" s="31" t="n">
        <x:f>IF(ISNUMBER(J22),I22-'Rules'!$B$11*(J22-1)*J22/2,"")</x:f>
        <x:v>800</x:v>
      </x:c>
      <x:c r="L22" s="31" t="n">
        <x:f>IF(ISNUMBER(J22),'Rules'!$B$11*J22,"")</x:f>
        <x:v>900</x:v>
      </x:c>
      <x:c r="M22" s="31" t="n">
        <x:f>IF(ISNUMBER(J22),J22-E22,"")</x:f>
        <x:v>0</x:v>
      </x:c>
      <x:c r="N22" s="31" t="n">
        <x:f>IF(AND(ISNUMBER(J22),ISNUMBER('Rules'!$B$8),ISNUMBER('Rules'!$B$9)),'Rules'!$B$8+'Rules'!$B$9*(J22-1),"")</x:f>
        <x:v>80</x:v>
      </x:c>
      <x:c r="O22" s="31" t="n">
        <x:v>9</x:v>
      </x:c>
      <x:c r="P22" s="31" t="n">
        <x:v>800</x:v>
      </x:c>
      <x:c r="Q22" s="31" t="n">
        <x:f>J22-O22</x:f>
        <x:v>0</x:v>
      </x:c>
      <x:c r="R22" s="31" t="n">
        <x:f>K22-P22</x:f>
        <x:v>0</x:v>
      </x:c>
      <x:c r="S22" s="19" t="str">
        <x:v>Repairs injured worker and organizes extraction.</x:v>
      </x:c>
    </x:row>
    <x:row r="23" ht="28" customHeight="1">
      <x:c r="A23" s="17" t="str">
        <x:v>C05E07</x:v>
      </x:c>
      <x:c r="B23" s="51" t="n">
        <x:v>5</x:v>
      </x:c>
      <x:c r="C23" s="17" t="str">
        <x:v>Dane</x:v>
      </x:c>
      <x:c r="D23" s="17" t="str">
        <x:v>Day 1 12:15:00</x:v>
      </x:c>
      <x:c r="E23" s="42" t="n">
        <x:f>J19</x:f>
        <x:v>9</x:v>
      </x:c>
      <x:c r="F23" s="42" t="n">
        <x:f>K19</x:f>
        <x:v>500</x:v>
      </x:c>
      <x:c r="G23" s="42" t="n">
        <x:v>300</x:v>
      </x:c>
      <x:c r="H23" s="42" t="n">
        <x:f>IF(AND(ISNUMBER(E23),ISNUMBER(F23),ISNUMBER('Rules'!$B$11)),'Rules'!$B$11*(E23-1)*E23/2+F23,"")</x:f>
        <x:v>4100</x:v>
      </x:c>
      <x:c r="I23" s="42" t="n">
        <x:f>IF(AND(ISNUMBER(H23),ISNUMBER(G23)),H23+G23,"")</x:f>
        <x:v>4400</x:v>
      </x:c>
      <x:c r="J23" s="42" t="n">
        <x:f>IF(ISNUMBER(I23),INT((1+SQRT(1+8*I23/'Rules'!$B$11))/2),"")</x:f>
        <x:v>9</x:v>
      </x:c>
      <x:c r="K23" s="42" t="n">
        <x:f>IF(ISNUMBER(J23),I23-'Rules'!$B$11*(J23-1)*J23/2,"")</x:f>
        <x:v>800</x:v>
      </x:c>
      <x:c r="L23" s="42" t="n">
        <x:f>IF(ISNUMBER(J23),'Rules'!$B$11*J23,"")</x:f>
        <x:v>900</x:v>
      </x:c>
      <x:c r="M23" s="42" t="n">
        <x:f>IF(ISNUMBER(J23),J23-E23,"")</x:f>
        <x:v>0</x:v>
      </x:c>
      <x:c r="N23" s="42" t="n">
        <x:f>IF(AND(ISNUMBER(J23),ISNUMBER('Rules'!$B$8),ISNUMBER('Rules'!$B$9)),'Rules'!$B$8+'Rules'!$B$9*(J23-1),"")</x:f>
        <x:v>80</x:v>
      </x:c>
      <x:c r="O23" s="42" t="n">
        <x:v>9</x:v>
      </x:c>
      <x:c r="P23" s="42" t="n">
        <x:v>800</x:v>
      </x:c>
      <x:c r="Q23" s="42" t="n">
        <x:f>J23-O23</x:f>
        <x:v>0</x:v>
      </x:c>
      <x:c r="R23" s="42" t="n">
        <x:f>K23-P23</x:f>
        <x:v>0</x:v>
      </x:c>
      <x:c r="S23" s="20" t="str">
        <x:v>Reaches separated worker and protects retreat.</x:v>
      </x:c>
    </x:row>
    <x:row r="24" ht="28" customHeight="1">
      <x:c r="A24" s="2" t="str">
        <x:v>C06E04</x:v>
      </x:c>
      <x:c r="B24" s="50" t="n">
        <x:v>6</x:v>
      </x:c>
      <x:c r="C24" s="2" t="str">
        <x:v>Kip</x:v>
      </x:c>
      <x:c r="D24" s="2" t="str">
        <x:v>Day 1 14:30:00</x:v>
      </x:c>
      <x:c r="E24" s="31" t="n">
        <x:f>J20</x:f>
        <x:v>4</x:v>
      </x:c>
      <x:c r="F24" s="31" t="n">
        <x:f>K20</x:f>
        <x:v>200</x:v>
      </x:c>
      <x:c r="G24" s="31" t="n">
        <x:v>300</x:v>
      </x:c>
      <x:c r="H24" s="31" t="n">
        <x:f>IF(AND(ISNUMBER(E24),ISNUMBER(F24),ISNUMBER('Rules'!$B$11)),'Rules'!$B$11*(E24-1)*E24/2+F24,"")</x:f>
        <x:v>800</x:v>
      </x:c>
      <x:c r="I24" s="31" t="n">
        <x:f>IF(AND(ISNUMBER(H24),ISNUMBER(G24)),H24+G24,"")</x:f>
        <x:v>1100</x:v>
      </x:c>
      <x:c r="J24" s="31" t="n">
        <x:f>IF(ISNUMBER(I24),INT((1+SQRT(1+8*I24/'Rules'!$B$11))/2),"")</x:f>
        <x:v>5</x:v>
      </x:c>
      <x:c r="K24" s="31" t="n">
        <x:f>IF(ISNUMBER(J24),I24-'Rules'!$B$11*(J24-1)*J24/2,"")</x:f>
        <x:v>100</x:v>
      </x:c>
      <x:c r="L24" s="31" t="n">
        <x:f>IF(ISNUMBER(J24),'Rules'!$B$11*J24,"")</x:f>
        <x:v>500</x:v>
      </x:c>
      <x:c r="M24" s="31" t="n">
        <x:f>IF(ISNUMBER(J24),J24-E24,"")</x:f>
        <x:v>1</x:v>
      </x:c>
      <x:c r="N24" s="31" t="n">
        <x:f>IF(AND(ISNUMBER(J24),ISNUMBER('Rules'!$B$8),ISNUMBER('Rules'!$B$9)),'Rules'!$B$8+'Rules'!$B$9*(J24-1),"")</x:f>
        <x:v>60</x:v>
      </x:c>
      <x:c r="O24" s="31" t="n">
        <x:v>5</x:v>
      </x:c>
      <x:c r="P24" s="31" t="n">
        <x:v>100</x:v>
      </x:c>
      <x:c r="Q24" s="31" t="n">
        <x:f>J24-O24</x:f>
        <x:v>0</x:v>
      </x:c>
      <x:c r="R24" s="31" t="n">
        <x:f>K24-P24</x:f>
        <x:v>0</x:v>
      </x:c>
      <x:c r="S24" s="19" t="str">
        <x:v>Redirects guardian and helps secure water access.</x:v>
      </x:c>
    </x:row>
    <x:row r="25" ht="28" customHeight="1">
      <x:c r="A25" s="17" t="str">
        <x:v>C06E04</x:v>
      </x:c>
      <x:c r="B25" s="51" t="n">
        <x:v>6</x:v>
      </x:c>
      <x:c r="C25" s="17" t="str">
        <x:v>Tessa</x:v>
      </x:c>
      <x:c r="D25" s="17" t="str">
        <x:v>Day 1 14:30:00</x:v>
      </x:c>
      <x:c r="E25" s="42" t="n">
        <x:f>J21</x:f>
        <x:v>6</x:v>
      </x:c>
      <x:c r="F25" s="42" t="n">
        <x:f>K21</x:f>
        <x:v>300</x:v>
      </x:c>
      <x:c r="G25" s="42" t="n">
        <x:v>300</x:v>
      </x:c>
      <x:c r="H25" s="42" t="n">
        <x:f>IF(AND(ISNUMBER(E25),ISNUMBER(F25),ISNUMBER('Rules'!$B$11)),'Rules'!$B$11*(E25-1)*E25/2+F25,"")</x:f>
        <x:v>1800</x:v>
      </x:c>
      <x:c r="I25" s="42" t="n">
        <x:f>IF(AND(ISNUMBER(H25),ISNUMBER(G25)),H25+G25,"")</x:f>
        <x:v>2100</x:v>
      </x:c>
      <x:c r="J25" s="42" t="n">
        <x:f>IF(ISNUMBER(I25),INT((1+SQRT(1+8*I25/'Rules'!$B$11))/2),"")</x:f>
        <x:v>7</x:v>
      </x:c>
      <x:c r="K25" s="42" t="n">
        <x:f>IF(ISNUMBER(J25),I25-'Rules'!$B$11*(J25-1)*J25/2,"")</x:f>
        <x:v>0</x:v>
      </x:c>
      <x:c r="L25" s="42" t="n">
        <x:f>IF(ISNUMBER(J25),'Rules'!$B$11*J25,"")</x:f>
        <x:v>700</x:v>
      </x:c>
      <x:c r="M25" s="42" t="n">
        <x:f>IF(ISNUMBER(J25),J25-E25,"")</x:f>
        <x:v>1</x:v>
      </x:c>
      <x:c r="N25" s="42" t="n">
        <x:f>IF(AND(ISNUMBER(J25),ISNUMBER('Rules'!$B$8),ISNUMBER('Rules'!$B$9)),'Rules'!$B$8+'Rules'!$B$9*(J25-1),"")</x:f>
        <x:v>70</x:v>
      </x:c>
      <x:c r="O25" s="42" t="n">
        <x:v>7</x:v>
      </x:c>
      <x:c r="P25" s="42" t="n">
        <x:v>0</x:v>
      </x:c>
      <x:c r="Q25" s="42" t="n">
        <x:f>J25-O25</x:f>
        <x:v>0</x:v>
      </x:c>
      <x:c r="R25" s="42" t="n">
        <x:f>K25-P25</x:f>
        <x:v>0</x:v>
      </x:c>
      <x:c r="S25" s="20" t="str">
        <x:v>Exposes rune and scouts shore.</x:v>
      </x:c>
    </x:row>
    <x:row r="26" ht="36" customHeight="1">
      <x:c r="A26" s="2" t="str">
        <x:v>C06E04</x:v>
      </x:c>
      <x:c r="B26" s="50" t="n">
        <x:v>6</x:v>
      </x:c>
      <x:c r="C26" s="2" t="str">
        <x:v>Owen</x:v>
      </x:c>
      <x:c r="D26" s="2" t="str">
        <x:v>Day 1 14:30:00</x:v>
      </x:c>
      <x:c r="E26" s="31" t="n">
        <x:f>J22</x:f>
        <x:v>9</x:v>
      </x:c>
      <x:c r="F26" s="31" t="n">
        <x:f>K22</x:f>
        <x:v>800</x:v>
      </x:c>
      <x:c r="G26" s="31" t="n">
        <x:v>300</x:v>
      </x:c>
      <x:c r="H26" s="31" t="n">
        <x:f>IF(AND(ISNUMBER(E26),ISNUMBER(F26),ISNUMBER('Rules'!$B$11)),'Rules'!$B$11*(E26-1)*E26/2+F26,"")</x:f>
        <x:v>4400</x:v>
      </x:c>
      <x:c r="I26" s="31" t="n">
        <x:f>IF(AND(ISNUMBER(H26),ISNUMBER(G26)),H26+G26,"")</x:f>
        <x:v>4700</x:v>
      </x:c>
      <x:c r="J26" s="31" t="n">
        <x:f>IF(ISNUMBER(I26),INT((1+SQRT(1+8*I26/'Rules'!$B$11))/2),"")</x:f>
        <x:v>10</x:v>
      </x:c>
      <x:c r="K26" s="31" t="n">
        <x:f>IF(ISNUMBER(J26),I26-'Rules'!$B$11*(J26-1)*J26/2,"")</x:f>
        <x:v>200</x:v>
      </x:c>
      <x:c r="L26" s="31" t="n">
        <x:f>IF(ISNUMBER(J26),'Rules'!$B$11*J26,"")</x:f>
        <x:v>1000</x:v>
      </x:c>
      <x:c r="M26" s="31" t="n">
        <x:f>IF(ISNUMBER(J26),J26-E26,"")</x:f>
        <x:v>1</x:v>
      </x:c>
      <x:c r="N26" s="31" t="n">
        <x:f>IF(AND(ISNUMBER(J26),ISNUMBER('Rules'!$B$8),ISNUMBER('Rules'!$B$9)),'Rules'!$B$8+'Rules'!$B$9*(J26-1),"")</x:f>
        <x:v>85</x:v>
      </x:c>
      <x:c r="O26" s="31" t="n">
        <x:v>10</x:v>
      </x:c>
      <x:c r="P26" s="31" t="n">
        <x:v>200</x:v>
      </x:c>
      <x:c r="Q26" s="31" t="n">
        <x:f>J26-O26</x:f>
        <x:v>0</x:v>
      </x:c>
      <x:c r="R26" s="31" t="n">
        <x:f>K26-P26</x:f>
        <x:v>0</x:v>
      </x:c>
      <x:c r="S26" s="19" t="str">
        <x:v>Directs safe litter movement over the shore and physically supports Jory during the guardian encounter.</x:v>
      </x:c>
    </x:row>
    <x:row r="27" ht="28" customHeight="1">
      <x:c r="A27" s="17" t="str">
        <x:v>C06E04</x:v>
      </x:c>
      <x:c r="B27" s="51" t="n">
        <x:v>6</x:v>
      </x:c>
      <x:c r="C27" s="17" t="str">
        <x:v>Dane</x:v>
      </x:c>
      <x:c r="D27" s="17" t="str">
        <x:v>Day 1 14:30:00</x:v>
      </x:c>
      <x:c r="E27" s="42" t="n">
        <x:f>J23</x:f>
        <x:v>9</x:v>
      </x:c>
      <x:c r="F27" s="42" t="n">
        <x:f>K23</x:f>
        <x:v>800</x:v>
      </x:c>
      <x:c r="G27" s="42" t="n">
        <x:v>300</x:v>
      </x:c>
      <x:c r="H27" s="42" t="n">
        <x:f>IF(AND(ISNUMBER(E27),ISNUMBER(F27),ISNUMBER('Rules'!$B$11)),'Rules'!$B$11*(E27-1)*E27/2+F27,"")</x:f>
        <x:v>4400</x:v>
      </x:c>
      <x:c r="I27" s="42" t="n">
        <x:f>IF(AND(ISNUMBER(H27),ISNUMBER(G27)),H27+G27,"")</x:f>
        <x:v>4700</x:v>
      </x:c>
      <x:c r="J27" s="42" t="n">
        <x:f>IF(ISNUMBER(I27),INT((1+SQRT(1+8*I27/'Rules'!$B$11))/2),"")</x:f>
        <x:v>10</x:v>
      </x:c>
      <x:c r="K27" s="42" t="n">
        <x:f>IF(ISNUMBER(J27),I27-'Rules'!$B$11*(J27-1)*J27/2,"")</x:f>
        <x:v>200</x:v>
      </x:c>
      <x:c r="L27" s="42" t="n">
        <x:f>IF(ISNUMBER(J27),'Rules'!$B$11*J27,"")</x:f>
        <x:v>1000</x:v>
      </x:c>
      <x:c r="M27" s="42" t="n">
        <x:f>IF(ISNUMBER(J27),J27-E27,"")</x:f>
        <x:v>1</x:v>
      </x:c>
      <x:c r="N27" s="42" t="n">
        <x:f>IF(AND(ISNUMBER(J27),ISNUMBER('Rules'!$B$8),ISNUMBER('Rules'!$B$9)),'Rules'!$B$8+'Rules'!$B$9*(J27-1),"")</x:f>
        <x:v>85</x:v>
      </x:c>
      <x:c r="O27" s="42" t="n">
        <x:v>10</x:v>
      </x:c>
      <x:c r="P27" s="42" t="n">
        <x:v>200</x:v>
      </x:c>
      <x:c r="Q27" s="42" t="n">
        <x:f>J27-O27</x:f>
        <x:v>0</x:v>
      </x:c>
      <x:c r="R27" s="42" t="n">
        <x:f>K27-P27</x:f>
        <x:v>0</x:v>
      </x:c>
      <x:c r="S27" s="20" t="str">
        <x:v>Defends patients from guardian.</x:v>
      </x:c>
    </x:row>
    <x:row r="28" ht="28" customHeight="1">
      <x:c r="A28" s="2" t="str">
        <x:v>C08E08</x:v>
      </x:c>
      <x:c r="B28" s="50" t="n">
        <x:v>8</x:v>
      </x:c>
      <x:c r="C28" s="2" t="str">
        <x:v>Kip</x:v>
      </x:c>
      <x:c r="D28" s="2" t="str">
        <x:v>Day 2 09:15:00</x:v>
      </x:c>
      <x:c r="E28" s="31" t="n">
        <x:f>J24</x:f>
        <x:v>5</x:v>
      </x:c>
      <x:c r="F28" s="31" t="n">
        <x:f>K24</x:f>
        <x:v>100</x:v>
      </x:c>
      <x:c r="G28" s="31" t="n">
        <x:v>300</x:v>
      </x:c>
      <x:c r="H28" s="31" t="n">
        <x:f>IF(AND(ISNUMBER(E28),ISNUMBER(F28),ISNUMBER('Rules'!$B$11)),'Rules'!$B$11*(E28-1)*E28/2+F28,"")</x:f>
        <x:v>1100</x:v>
      </x:c>
      <x:c r="I28" s="31" t="n">
        <x:f>IF(AND(ISNUMBER(H28),ISNUMBER(G28)),H28+G28,"")</x:f>
        <x:v>1400</x:v>
      </x:c>
      <x:c r="J28" s="31" t="n">
        <x:f>IF(ISNUMBER(I28),INT((1+SQRT(1+8*I28/'Rules'!$B$11))/2),"")</x:f>
        <x:v>5</x:v>
      </x:c>
      <x:c r="K28" s="31" t="n">
        <x:f>IF(ISNUMBER(J28),I28-'Rules'!$B$11*(J28-1)*J28/2,"")</x:f>
        <x:v>400</x:v>
      </x:c>
      <x:c r="L28" s="31" t="n">
        <x:f>IF(ISNUMBER(J28),'Rules'!$B$11*J28,"")</x:f>
        <x:v>500</x:v>
      </x:c>
      <x:c r="M28" s="31" t="n">
        <x:f>IF(ISNUMBER(J28),J28-E28,"")</x:f>
        <x:v>0</x:v>
      </x:c>
      <x:c r="N28" s="31" t="n">
        <x:f>IF(AND(ISNUMBER(J28),ISNUMBER('Rules'!$B$8),ISNUMBER('Rules'!$B$9)),'Rules'!$B$8+'Rules'!$B$9*(J28-1),"")</x:f>
        <x:v>60</x:v>
      </x:c>
      <x:c r="O28" s="31" t="n">
        <x:v>5</x:v>
      </x:c>
      <x:c r="P28" s="31" t="n">
        <x:v>400</x:v>
      </x:c>
      <x:c r="Q28" s="31" t="n">
        <x:f>J28-O28</x:f>
        <x:v>0</x:v>
      </x:c>
      <x:c r="R28" s="31" t="n">
        <x:f>K28-P28</x:f>
        <x:v>0</x:v>
      </x:c>
      <x:c r="S28" s="19" t="str">
        <x:v>Uses announced proof and covers evacuation.</x:v>
      </x:c>
    </x:row>
    <x:row r="29" ht="28" customHeight="1">
      <x:c r="A29" s="17" t="str">
        <x:v>C08E08</x:v>
      </x:c>
      <x:c r="B29" s="51" t="n">
        <x:v>8</x:v>
      </x:c>
      <x:c r="C29" s="17" t="str">
        <x:v>Tessa</x:v>
      </x:c>
      <x:c r="D29" s="17" t="str">
        <x:v>Day 2 09:15:00</x:v>
      </x:c>
      <x:c r="E29" s="42" t="n">
        <x:f>J25</x:f>
        <x:v>7</x:v>
      </x:c>
      <x:c r="F29" s="42" t="n">
        <x:f>K25</x:f>
        <x:v>0</x:v>
      </x:c>
      <x:c r="G29" s="42" t="n">
        <x:v>300</x:v>
      </x:c>
      <x:c r="H29" s="42" t="n">
        <x:f>IF(AND(ISNUMBER(E29),ISNUMBER(F29),ISNUMBER('Rules'!$B$11)),'Rules'!$B$11*(E29-1)*E29/2+F29,"")</x:f>
        <x:v>2100</x:v>
      </x:c>
      <x:c r="I29" s="42" t="n">
        <x:f>IF(AND(ISNUMBER(H29),ISNUMBER(G29)),H29+G29,"")</x:f>
        <x:v>2400</x:v>
      </x:c>
      <x:c r="J29" s="42" t="n">
        <x:f>IF(ISNUMBER(I29),INT((1+SQRT(1+8*I29/'Rules'!$B$11))/2),"")</x:f>
        <x:v>7</x:v>
      </x:c>
      <x:c r="K29" s="42" t="n">
        <x:f>IF(ISNUMBER(J29),I29-'Rules'!$B$11*(J29-1)*J29/2,"")</x:f>
        <x:v>300</x:v>
      </x:c>
      <x:c r="L29" s="42" t="n">
        <x:f>IF(ISNUMBER(J29),'Rules'!$B$11*J29,"")</x:f>
        <x:v>700</x:v>
      </x:c>
      <x:c r="M29" s="42" t="n">
        <x:f>IF(ISNUMBER(J29),J29-E29,"")</x:f>
        <x:v>0</x:v>
      </x:c>
      <x:c r="N29" s="42" t="n">
        <x:f>IF(AND(ISNUMBER(J29),ISNUMBER('Rules'!$B$8),ISNUMBER('Rules'!$B$9)),'Rules'!$B$8+'Rules'!$B$9*(J29-1),"")</x:f>
        <x:v>70</x:v>
      </x:c>
      <x:c r="O29" s="42" t="n">
        <x:v>7</x:v>
      </x:c>
      <x:c r="P29" s="42" t="n">
        <x:v>300</x:v>
      </x:c>
      <x:c r="Q29" s="42" t="n">
        <x:f>J29-O29</x:f>
        <x:v>0</x:v>
      </x:c>
      <x:c r="R29" s="42" t="n">
        <x:f>K29-P29</x:f>
        <x:v>0</x:v>
      </x:c>
      <x:c r="S29" s="20" t="str">
        <x:v>Leads patients out before anchor breaks.</x:v>
      </x:c>
    </x:row>
    <x:row r="30" ht="28" customHeight="1">
      <x:c r="A30" s="2" t="str">
        <x:v>C08E08</x:v>
      </x:c>
      <x:c r="B30" s="50" t="n">
        <x:v>8</x:v>
      </x:c>
      <x:c r="C30" s="2" t="str">
        <x:v>Owen</x:v>
      </x:c>
      <x:c r="D30" s="2" t="str">
        <x:v>Day 2 09:15:00</x:v>
      </x:c>
      <x:c r="E30" s="31" t="n">
        <x:f>J26</x:f>
        <x:v>10</x:v>
      </x:c>
      <x:c r="F30" s="31" t="n">
        <x:f>K26</x:f>
        <x:v>200</x:v>
      </x:c>
      <x:c r="G30" s="31" t="n">
        <x:v>300</x:v>
      </x:c>
      <x:c r="H30" s="31" t="n">
        <x:f>IF(AND(ISNUMBER(E30),ISNUMBER(F30),ISNUMBER('Rules'!$B$11)),'Rules'!$B$11*(E30-1)*E30/2+F30,"")</x:f>
        <x:v>4700</x:v>
      </x:c>
      <x:c r="I30" s="31" t="n">
        <x:f>IF(AND(ISNUMBER(H30),ISNUMBER(G30)),H30+G30,"")</x:f>
        <x:v>5000</x:v>
      </x:c>
      <x:c r="J30" s="31" t="n">
        <x:f>IF(ISNUMBER(I30),INT((1+SQRT(1+8*I30/'Rules'!$B$11))/2),"")</x:f>
        <x:v>10</x:v>
      </x:c>
      <x:c r="K30" s="31" t="n">
        <x:f>IF(ISNUMBER(J30),I30-'Rules'!$B$11*(J30-1)*J30/2,"")</x:f>
        <x:v>500</x:v>
      </x:c>
      <x:c r="L30" s="31" t="n">
        <x:f>IF(ISNUMBER(J30),'Rules'!$B$11*J30,"")</x:f>
        <x:v>1000</x:v>
      </x:c>
      <x:c r="M30" s="31" t="n">
        <x:f>IF(ISNUMBER(J30),J30-E30,"")</x:f>
        <x:v>0</x:v>
      </x:c>
      <x:c r="N30" s="31" t="n">
        <x:f>IF(AND(ISNUMBER(J30),ISNUMBER('Rules'!$B$8),ISNUMBER('Rules'!$B$9)),'Rules'!$B$8+'Rules'!$B$9*(J30-1),"")</x:f>
        <x:v>85</x:v>
      </x:c>
      <x:c r="O30" s="31" t="n">
        <x:v>10</x:v>
      </x:c>
      <x:c r="P30" s="31" t="n">
        <x:v>500</x:v>
      </x:c>
      <x:c r="Q30" s="31" t="n">
        <x:f>J30-O30</x:f>
        <x:v>0</x:v>
      </x:c>
      <x:c r="R30" s="31" t="n">
        <x:f>K30-P30</x:f>
        <x:v>0</x:v>
      </x:c>
      <x:c r="S30" s="19" t="str">
        <x:v>Stabilizes injured evacuee.</x:v>
      </x:c>
    </x:row>
    <x:row r="31" ht="28" customHeight="1">
      <x:c r="A31" s="17" t="str">
        <x:v>C08E08</x:v>
      </x:c>
      <x:c r="B31" s="51" t="n">
        <x:v>8</x:v>
      </x:c>
      <x:c r="C31" s="17" t="str">
        <x:v>Dane</x:v>
      </x:c>
      <x:c r="D31" s="17" t="str">
        <x:v>Day 2 09:15:00</x:v>
      </x:c>
      <x:c r="E31" s="42" t="n">
        <x:f>J27</x:f>
        <x:v>10</x:v>
      </x:c>
      <x:c r="F31" s="42" t="n">
        <x:f>K27</x:f>
        <x:v>200</x:v>
      </x:c>
      <x:c r="G31" s="42" t="n">
        <x:v>300</x:v>
      </x:c>
      <x:c r="H31" s="42" t="n">
        <x:f>IF(AND(ISNUMBER(E31),ISNUMBER(F31),ISNUMBER('Rules'!$B$11)),'Rules'!$B$11*(E31-1)*E31/2+F31,"")</x:f>
        <x:v>4700</x:v>
      </x:c>
      <x:c r="I31" s="42" t="n">
        <x:f>IF(AND(ISNUMBER(H31),ISNUMBER(G31)),H31+G31,"")</x:f>
        <x:v>5000</x:v>
      </x:c>
      <x:c r="J31" s="42" t="n">
        <x:f>IF(ISNUMBER(I31),INT((1+SQRT(1+8*I31/'Rules'!$B$11))/2),"")</x:f>
        <x:v>10</x:v>
      </x:c>
      <x:c r="K31" s="42" t="n">
        <x:f>IF(ISNUMBER(J31),I31-'Rules'!$B$11*(J31-1)*J31/2,"")</x:f>
        <x:v>500</x:v>
      </x:c>
      <x:c r="L31" s="42" t="n">
        <x:f>IF(ISNUMBER(J31),'Rules'!$B$11*J31,"")</x:f>
        <x:v>1000</x:v>
      </x:c>
      <x:c r="M31" s="42" t="n">
        <x:f>IF(ISNUMBER(J31),J31-E31,"")</x:f>
        <x:v>0</x:v>
      </x:c>
      <x:c r="N31" s="42" t="n">
        <x:f>IF(AND(ISNUMBER(J31),ISNUMBER('Rules'!$B$8),ISNUMBER('Rules'!$B$9)),'Rules'!$B$8+'Rules'!$B$9*(J31-1),"")</x:f>
        <x:v>85</x:v>
      </x:c>
      <x:c r="O31" s="42" t="n">
        <x:v>10</x:v>
      </x:c>
      <x:c r="P31" s="42" t="n">
        <x:v>500</x:v>
      </x:c>
      <x:c r="Q31" s="42" t="n">
        <x:f>J31-O31</x:f>
        <x:v>0</x:v>
      </x:c>
      <x:c r="R31" s="42" t="n">
        <x:f>K31-P31</x:f>
        <x:v>0</x:v>
      </x:c>
      <x:c r="S31" s="20" t="str">
        <x:v>Blocks and intercepts patrol attacks.</x:v>
      </x:c>
    </x:row>
    <x:row r="32" ht="28" customHeight="1">
      <x:c r="A32" s="2" t="str">
        <x:v>C09E05</x:v>
      </x:c>
      <x:c r="B32" s="50" t="n">
        <x:v>9</x:v>
      </x:c>
      <x:c r="C32" s="2" t="str">
        <x:v>Kip</x:v>
      </x:c>
      <x:c r="D32" s="2" t="str">
        <x:v>Day 2 09:45:00</x:v>
      </x:c>
      <x:c r="E32" s="31" t="n">
        <x:f>J28</x:f>
        <x:v>5</x:v>
      </x:c>
      <x:c r="F32" s="31" t="n">
        <x:f>K28</x:f>
        <x:v>400</x:v>
      </x:c>
      <x:c r="G32" s="31" t="n">
        <x:v>100</x:v>
      </x:c>
      <x:c r="H32" s="31" t="n">
        <x:f>IF(AND(ISNUMBER(E32),ISNUMBER(F32),ISNUMBER('Rules'!$B$11)),'Rules'!$B$11*(E32-1)*E32/2+F32,"")</x:f>
        <x:v>1400</x:v>
      </x:c>
      <x:c r="I32" s="31" t="n">
        <x:f>IF(AND(ISNUMBER(H32),ISNUMBER(G32)),H32+G32,"")</x:f>
        <x:v>1500</x:v>
      </x:c>
      <x:c r="J32" s="31" t="n">
        <x:f>IF(ISNUMBER(I32),INT((1+SQRT(1+8*I32/'Rules'!$B$11))/2),"")</x:f>
        <x:v>6</x:v>
      </x:c>
      <x:c r="K32" s="31" t="n">
        <x:f>IF(ISNUMBER(J32),I32-'Rules'!$B$11*(J32-1)*J32/2,"")</x:f>
        <x:v>0</x:v>
      </x:c>
      <x:c r="L32" s="31" t="n">
        <x:f>IF(ISNUMBER(J32),'Rules'!$B$11*J32,"")</x:f>
        <x:v>600</x:v>
      </x:c>
      <x:c r="M32" s="31" t="n">
        <x:f>IF(ISNUMBER(J32),J32-E32,"")</x:f>
        <x:v>1</x:v>
      </x:c>
      <x:c r="N32" s="31" t="n">
        <x:f>IF(AND(ISNUMBER(J32),ISNUMBER('Rules'!$B$8),ISNUMBER('Rules'!$B$9)),'Rules'!$B$8+'Rules'!$B$9*(J32-1),"")</x:f>
        <x:v>65</x:v>
      </x:c>
      <x:c r="O32" s="31" t="n">
        <x:v>6</x:v>
      </x:c>
      <x:c r="P32" s="31" t="n">
        <x:v>0</x:v>
      </x:c>
      <x:c r="Q32" s="31" t="n">
        <x:f>J32-O32</x:f>
        <x:v>0</x:v>
      </x:c>
      <x:c r="R32" s="31" t="n">
        <x:f>K32-P32</x:f>
        <x:v>0</x:v>
      </x:c>
      <x:c r="S32" s="19" t="str">
        <x:v>Secures beam crossing and retrieves supplies.</x:v>
      </x:c>
    </x:row>
    <x:row r="33" ht="28" customHeight="1">
      <x:c r="A33" s="17" t="str">
        <x:v>C09E05</x:v>
      </x:c>
      <x:c r="B33" s="51" t="n">
        <x:v>9</x:v>
      </x:c>
      <x:c r="C33" s="17" t="str">
        <x:v>Tessa</x:v>
      </x:c>
      <x:c r="D33" s="17" t="str">
        <x:v>Day 2 09:45:00</x:v>
      </x:c>
      <x:c r="E33" s="42" t="n">
        <x:f>J29</x:f>
        <x:v>7</x:v>
      </x:c>
      <x:c r="F33" s="42" t="n">
        <x:f>K29</x:f>
        <x:v>300</x:v>
      </x:c>
      <x:c r="G33" s="42" t="n">
        <x:v>100</x:v>
      </x:c>
      <x:c r="H33" s="42" t="n">
        <x:f>IF(AND(ISNUMBER(E33),ISNUMBER(F33),ISNUMBER('Rules'!$B$11)),'Rules'!$B$11*(E33-1)*E33/2+F33,"")</x:f>
        <x:v>2400</x:v>
      </x:c>
      <x:c r="I33" s="42" t="n">
        <x:f>IF(AND(ISNUMBER(H33),ISNUMBER(G33)),H33+G33,"")</x:f>
        <x:v>2500</x:v>
      </x:c>
      <x:c r="J33" s="42" t="n">
        <x:f>IF(ISNUMBER(I33),INT((1+SQRT(1+8*I33/'Rules'!$B$11))/2),"")</x:f>
        <x:v>7</x:v>
      </x:c>
      <x:c r="K33" s="42" t="n">
        <x:f>IF(ISNUMBER(J33),I33-'Rules'!$B$11*(J33-1)*J33/2,"")</x:f>
        <x:v>400</x:v>
      </x:c>
      <x:c r="L33" s="42" t="n">
        <x:f>IF(ISNUMBER(J33),'Rules'!$B$11*J33,"")</x:f>
        <x:v>700</x:v>
      </x:c>
      <x:c r="M33" s="42" t="n">
        <x:f>IF(ISNUMBER(J33),J33-E33,"")</x:f>
        <x:v>0</x:v>
      </x:c>
      <x:c r="N33" s="42" t="n">
        <x:f>IF(AND(ISNUMBER(J33),ISNUMBER('Rules'!$B$8),ISNUMBER('Rules'!$B$9)),'Rules'!$B$8+'Rules'!$B$9*(J33-1),"")</x:f>
        <x:v>70</x:v>
      </x:c>
      <x:c r="O33" s="42" t="n">
        <x:v>7</x:v>
      </x:c>
      <x:c r="P33" s="42" t="n">
        <x:v>400</x:v>
      </x:c>
      <x:c r="Q33" s="42" t="n">
        <x:f>J33-O33</x:f>
        <x:v>0</x:v>
      </x:c>
      <x:c r="R33" s="42" t="n">
        <x:f>K33-P33</x:f>
        <x:v>0</x:v>
      </x:c>
      <x:c r="S33" s="20" t="str">
        <x:v>Finds intact safe approach.</x:v>
      </x:c>
    </x:row>
    <x:row r="34" ht="28" customHeight="1">
      <x:c r="A34" s="2" t="str">
        <x:v>C09E05</x:v>
      </x:c>
      <x:c r="B34" s="50" t="n">
        <x:v>9</x:v>
      </x:c>
      <x:c r="C34" s="2" t="str">
        <x:v>Owen</x:v>
      </x:c>
      <x:c r="D34" s="2" t="str">
        <x:v>Day 2 09:45:00</x:v>
      </x:c>
      <x:c r="E34" s="31" t="n">
        <x:f>J30</x:f>
        <x:v>10</x:v>
      </x:c>
      <x:c r="F34" s="31" t="n">
        <x:f>K30</x:f>
        <x:v>500</x:v>
      </x:c>
      <x:c r="G34" s="31" t="n">
        <x:v>100</x:v>
      </x:c>
      <x:c r="H34" s="31" t="n">
        <x:f>IF(AND(ISNUMBER(E34),ISNUMBER(F34),ISNUMBER('Rules'!$B$11)),'Rules'!$B$11*(E34-1)*E34/2+F34,"")</x:f>
        <x:v>5000</x:v>
      </x:c>
      <x:c r="I34" s="31" t="n">
        <x:f>IF(AND(ISNUMBER(H34),ISNUMBER(G34)),H34+G34,"")</x:f>
        <x:v>5100</x:v>
      </x:c>
      <x:c r="J34" s="31" t="n">
        <x:f>IF(ISNUMBER(I34),INT((1+SQRT(1+8*I34/'Rules'!$B$11))/2),"")</x:f>
        <x:v>10</x:v>
      </x:c>
      <x:c r="K34" s="31" t="n">
        <x:f>IF(ISNUMBER(J34),I34-'Rules'!$B$11*(J34-1)*J34/2,"")</x:f>
        <x:v>600</x:v>
      </x:c>
      <x:c r="L34" s="31" t="n">
        <x:f>IF(ISNUMBER(J34),'Rules'!$B$11*J34,"")</x:f>
        <x:v>1000</x:v>
      </x:c>
      <x:c r="M34" s="31" t="n">
        <x:f>IF(ISNUMBER(J34),J34-E34,"")</x:f>
        <x:v>0</x:v>
      </x:c>
      <x:c r="N34" s="31" t="n">
        <x:f>IF(AND(ISNUMBER(J34),ISNUMBER('Rules'!$B$8),ISNUMBER('Rules'!$B$9)),'Rules'!$B$8+'Rules'!$B$9*(J34-1),"")</x:f>
        <x:v>85</x:v>
      </x:c>
      <x:c r="O34" s="31" t="n">
        <x:v>10</x:v>
      </x:c>
      <x:c r="P34" s="31" t="n">
        <x:v>600</x:v>
      </x:c>
      <x:c r="Q34" s="31" t="n">
        <x:f>J34-O34</x:f>
        <x:v>0</x:v>
      </x:c>
      <x:c r="R34" s="31" t="n">
        <x:f>K34-P34</x:f>
        <x:v>0</x:v>
      </x:c>
      <x:c r="S34" s="19" t="str">
        <x:v>Treats injury and transfers patient through hazard.</x:v>
      </x:c>
    </x:row>
    <x:row r="35" ht="28" customHeight="1">
      <x:c r="A35" s="17" t="str">
        <x:v>C09E05</x:v>
      </x:c>
      <x:c r="B35" s="51" t="n">
        <x:v>9</x:v>
      </x:c>
      <x:c r="C35" s="17" t="str">
        <x:v>Dane</x:v>
      </x:c>
      <x:c r="D35" s="17" t="str">
        <x:v>Day 2 09:45:00</x:v>
      </x:c>
      <x:c r="E35" s="42" t="n">
        <x:f>J31</x:f>
        <x:v>10</x:v>
      </x:c>
      <x:c r="F35" s="42" t="n">
        <x:f>K31</x:f>
        <x:v>500</x:v>
      </x:c>
      <x:c r="G35" s="42" t="n">
        <x:v>100</x:v>
      </x:c>
      <x:c r="H35" s="42" t="n">
        <x:f>IF(AND(ISNUMBER(E35),ISNUMBER(F35),ISNUMBER('Rules'!$B$11)),'Rules'!$B$11*(E35-1)*E35/2+F35,"")</x:f>
        <x:v>5000</x:v>
      </x:c>
      <x:c r="I35" s="42" t="n">
        <x:f>IF(AND(ISNUMBER(H35),ISNUMBER(G35)),H35+G35,"")</x:f>
        <x:v>5100</x:v>
      </x:c>
      <x:c r="J35" s="42" t="n">
        <x:f>IF(ISNUMBER(I35),INT((1+SQRT(1+8*I35/'Rules'!$B$11))/2),"")</x:f>
        <x:v>10</x:v>
      </x:c>
      <x:c r="K35" s="42" t="n">
        <x:f>IF(ISNUMBER(J35),I35-'Rules'!$B$11*(J35-1)*J35/2,"")</x:f>
        <x:v>600</x:v>
      </x:c>
      <x:c r="L35" s="42" t="n">
        <x:f>IF(ISNUMBER(J35),'Rules'!$B$11*J35,"")</x:f>
        <x:v>1000</x:v>
      </x:c>
      <x:c r="M35" s="42" t="n">
        <x:f>IF(ISNUMBER(J35),J35-E35,"")</x:f>
        <x:v>0</x:v>
      </x:c>
      <x:c r="N35" s="42" t="n">
        <x:f>IF(AND(ISNUMBER(J35),ISNUMBER('Rules'!$B$8),ISNUMBER('Rules'!$B$9)),'Rules'!$B$8+'Rules'!$B$9*(J35-1),"")</x:f>
        <x:v>85</x:v>
      </x:c>
      <x:c r="O35" s="42" t="n">
        <x:v>10</x:v>
      </x:c>
      <x:c r="P35" s="42" t="n">
        <x:v>600</x:v>
      </x:c>
      <x:c r="Q35" s="42" t="n">
        <x:f>J35-O35</x:f>
        <x:v>0</x:v>
      </x:c>
      <x:c r="R35" s="42" t="n">
        <x:f>K35-P35</x:f>
        <x:v>0</x:v>
      </x:c>
      <x:c r="S35" s="20" t="str">
        <x:v>Protects worker during salvage.</x:v>
      </x:c>
    </x:row>
    <x:row r="36" ht="28" customHeight="1">
      <x:c r="A36" s="2" t="str">
        <x:v>C10E07</x:v>
      </x:c>
      <x:c r="B36" s="50" t="n">
        <x:v>10</x:v>
      </x:c>
      <x:c r="C36" s="2" t="str">
        <x:v>Kip</x:v>
      </x:c>
      <x:c r="D36" s="2" t="str">
        <x:v>Day 2 12:30:00</x:v>
      </x:c>
      <x:c r="E36" s="31" t="n">
        <x:f>J32</x:f>
        <x:v>6</x:v>
      </x:c>
      <x:c r="F36" s="31" t="n">
        <x:f>K32</x:f>
        <x:v>0</x:v>
      </x:c>
      <x:c r="G36" s="31" t="n">
        <x:v>300</x:v>
      </x:c>
      <x:c r="H36" s="31" t="n">
        <x:f>IF(AND(ISNUMBER(E36),ISNUMBER(F36),ISNUMBER('Rules'!$B$11)),'Rules'!$B$11*(E36-1)*E36/2+F36,"")</x:f>
        <x:v>1500</x:v>
      </x:c>
      <x:c r="I36" s="31" t="n">
        <x:f>IF(AND(ISNUMBER(H36),ISNUMBER(G36)),H36+G36,"")</x:f>
        <x:v>1800</x:v>
      </x:c>
      <x:c r="J36" s="31" t="n">
        <x:f>IF(ISNUMBER(I36),INT((1+SQRT(1+8*I36/'Rules'!$B$11))/2),"")</x:f>
        <x:v>6</x:v>
      </x:c>
      <x:c r="K36" s="31" t="n">
        <x:f>IF(ISNUMBER(J36),I36-'Rules'!$B$11*(J36-1)*J36/2,"")</x:f>
        <x:v>300</x:v>
      </x:c>
      <x:c r="L36" s="31" t="n">
        <x:f>IF(ISNUMBER(J36),'Rules'!$B$11*J36,"")</x:f>
        <x:v>600</x:v>
      </x:c>
      <x:c r="M36" s="31" t="n">
        <x:f>IF(ISNUMBER(J36),J36-E36,"")</x:f>
        <x:v>0</x:v>
      </x:c>
      <x:c r="N36" s="31" t="n">
        <x:f>IF(AND(ISNUMBER(J36),ISNUMBER('Rules'!$B$8),ISNUMBER('Rules'!$B$9)),'Rules'!$B$8+'Rules'!$B$9*(J36-1),"")</x:f>
        <x:v>65</x:v>
      </x:c>
      <x:c r="O36" s="31" t="n">
        <x:v>6</x:v>
      </x:c>
      <x:c r="P36" s="31" t="n">
        <x:v>300</x:v>
      </x:c>
      <x:c r="Q36" s="31" t="n">
        <x:f>J36-O36</x:f>
        <x:v>0</x:v>
      </x:c>
      <x:c r="R36" s="31" t="n">
        <x:f>K36-P36</x:f>
        <x:v>0</x:v>
      </x:c>
      <x:c r="S36" s="19" t="str">
        <x:v>Coordinates ranged fixture and defense.</x:v>
      </x:c>
    </x:row>
    <x:row r="37" ht="28" customHeight="1">
      <x:c r="A37" s="17" t="str">
        <x:v>C10E07</x:v>
      </x:c>
      <x:c r="B37" s="51" t="n">
        <x:v>10</x:v>
      </x:c>
      <x:c r="C37" s="17" t="str">
        <x:v>Tessa</x:v>
      </x:c>
      <x:c r="D37" s="17" t="str">
        <x:v>Day 2 12:30:00</x:v>
      </x:c>
      <x:c r="E37" s="42" t="n">
        <x:f>J33</x:f>
        <x:v>7</x:v>
      </x:c>
      <x:c r="F37" s="42" t="n">
        <x:f>K33</x:f>
        <x:v>400</x:v>
      </x:c>
      <x:c r="G37" s="42" t="n">
        <x:v>300</x:v>
      </x:c>
      <x:c r="H37" s="42" t="n">
        <x:f>IF(AND(ISNUMBER(E37),ISNUMBER(F37),ISNUMBER('Rules'!$B$11)),'Rules'!$B$11*(E37-1)*E37/2+F37,"")</x:f>
        <x:v>2500</x:v>
      </x:c>
      <x:c r="I37" s="42" t="n">
        <x:f>IF(AND(ISNUMBER(H37),ISNUMBER(G37)),H37+G37,"")</x:f>
        <x:v>2800</x:v>
      </x:c>
      <x:c r="J37" s="42" t="n">
        <x:f>IF(ISNUMBER(I37),INT((1+SQRT(1+8*I37/'Rules'!$B$11))/2),"")</x:f>
        <x:v>8</x:v>
      </x:c>
      <x:c r="K37" s="42" t="n">
        <x:f>IF(ISNUMBER(J37),I37-'Rules'!$B$11*(J37-1)*J37/2,"")</x:f>
        <x:v>0</x:v>
      </x:c>
      <x:c r="L37" s="42" t="n">
        <x:f>IF(ISNUMBER(J37),'Rules'!$B$11*J37,"")</x:f>
        <x:v>800</x:v>
      </x:c>
      <x:c r="M37" s="42" t="n">
        <x:f>IF(ISNUMBER(J37),J37-E37,"")</x:f>
        <x:v>1</x:v>
      </x:c>
      <x:c r="N37" s="42" t="n">
        <x:f>IF(AND(ISNUMBER(J37),ISNUMBER('Rules'!$B$8),ISNUMBER('Rules'!$B$9)),'Rules'!$B$8+'Rules'!$B$9*(J37-1),"")</x:f>
        <x:v>75</x:v>
      </x:c>
      <x:c r="O37" s="42" t="n">
        <x:v>8</x:v>
      </x:c>
      <x:c r="P37" s="42" t="n">
        <x:v>0</x:v>
      </x:c>
      <x:c r="Q37" s="42" t="n">
        <x:f>J37-O37</x:f>
        <x:v>0</x:v>
      </x:c>
      <x:c r="R37" s="42" t="n">
        <x:f>K37-P37</x:f>
        <x:v>0</x:v>
      </x:c>
      <x:c r="S37" s="20" t="str">
        <x:v>Finds dry flank and guardian approach.</x:v>
      </x:c>
    </x:row>
    <x:row r="38" ht="28" customHeight="1">
      <x:c r="A38" s="2" t="str">
        <x:v>C10E07</x:v>
      </x:c>
      <x:c r="B38" s="50" t="n">
        <x:v>10</x:v>
      </x:c>
      <x:c r="C38" s="2" t="str">
        <x:v>Owen</x:v>
      </x:c>
      <x:c r="D38" s="2" t="str">
        <x:v>Day 2 12:30:00</x:v>
      </x:c>
      <x:c r="E38" s="31" t="n">
        <x:f>J34</x:f>
        <x:v>10</x:v>
      </x:c>
      <x:c r="F38" s="31" t="n">
        <x:f>K34</x:f>
        <x:v>600</x:v>
      </x:c>
      <x:c r="G38" s="31" t="n">
        <x:v>300</x:v>
      </x:c>
      <x:c r="H38" s="31" t="n">
        <x:f>IF(AND(ISNUMBER(E38),ISNUMBER(F38),ISNUMBER('Rules'!$B$11)),'Rules'!$B$11*(E38-1)*E38/2+F38,"")</x:f>
        <x:v>5100</x:v>
      </x:c>
      <x:c r="I38" s="31" t="n">
        <x:f>IF(AND(ISNUMBER(H38),ISNUMBER(G38)),H38+G38,"")</x:f>
        <x:v>5400</x:v>
      </x:c>
      <x:c r="J38" s="31" t="n">
        <x:f>IF(ISNUMBER(I38),INT((1+SQRT(1+8*I38/'Rules'!$B$11))/2),"")</x:f>
        <x:v>10</x:v>
      </x:c>
      <x:c r="K38" s="31" t="n">
        <x:f>IF(ISNUMBER(J38),I38-'Rules'!$B$11*(J38-1)*J38/2,"")</x:f>
        <x:v>900</x:v>
      </x:c>
      <x:c r="L38" s="31" t="n">
        <x:f>IF(ISNUMBER(J38),'Rules'!$B$11*J38,"")</x:f>
        <x:v>1000</x:v>
      </x:c>
      <x:c r="M38" s="31" t="n">
        <x:f>IF(ISNUMBER(J38),J38-E38,"")</x:f>
        <x:v>0</x:v>
      </x:c>
      <x:c r="N38" s="31" t="n">
        <x:f>IF(AND(ISNUMBER(J38),ISNUMBER('Rules'!$B$8),ISNUMBER('Rules'!$B$9)),'Rules'!$B$8+'Rules'!$B$9*(J38-1),"")</x:f>
        <x:v>85</x:v>
      </x:c>
      <x:c r="O38" s="31" t="n">
        <x:v>10</x:v>
      </x:c>
      <x:c r="P38" s="31" t="n">
        <x:v>900</x:v>
      </x:c>
      <x:c r="Q38" s="31" t="n">
        <x:f>J38-O38</x:f>
        <x:v>0</x:v>
      </x:c>
      <x:c r="R38" s="31" t="n">
        <x:f>K38-P38</x:f>
        <x:v>0</x:v>
      </x:c>
      <x:c r="S38" s="19" t="str">
        <x:v>Provides necessary aftercare and evacuation.</x:v>
      </x:c>
    </x:row>
    <x:row r="39" ht="28" customHeight="1">
      <x:c r="A39" s="17" t="str">
        <x:v>C10E07</x:v>
      </x:c>
      <x:c r="B39" s="51" t="n">
        <x:v>10</x:v>
      </x:c>
      <x:c r="C39" s="17" t="str">
        <x:v>Dane</x:v>
      </x:c>
      <x:c r="D39" s="17" t="str">
        <x:v>Day 2 12:30:00</x:v>
      </x:c>
      <x:c r="E39" s="42" t="n">
        <x:f>J35</x:f>
        <x:v>10</x:v>
      </x:c>
      <x:c r="F39" s="42" t="n">
        <x:f>K35</x:f>
        <x:v>600</x:v>
      </x:c>
      <x:c r="G39" s="42" t="n">
        <x:v>300</x:v>
      </x:c>
      <x:c r="H39" s="42" t="n">
        <x:f>IF(AND(ISNUMBER(E39),ISNUMBER(F39),ISNUMBER('Rules'!$B$11)),'Rules'!$B$11*(E39-1)*E39/2+F39,"")</x:f>
        <x:v>5100</x:v>
      </x:c>
      <x:c r="I39" s="42" t="n">
        <x:f>IF(AND(ISNUMBER(H39),ISNUMBER(G39)),H39+G39,"")</x:f>
        <x:v>5400</x:v>
      </x:c>
      <x:c r="J39" s="42" t="n">
        <x:f>IF(ISNUMBER(I39),INT((1+SQRT(1+8*I39/'Rules'!$B$11))/2),"")</x:f>
        <x:v>10</x:v>
      </x:c>
      <x:c r="K39" s="42" t="n">
        <x:f>IF(ISNUMBER(J39),I39-'Rules'!$B$11*(J39-1)*J39/2,"")</x:f>
        <x:v>900</x:v>
      </x:c>
      <x:c r="L39" s="42" t="n">
        <x:f>IF(ISNUMBER(J39),'Rules'!$B$11*J39,"")</x:f>
        <x:v>1000</x:v>
      </x:c>
      <x:c r="M39" s="42" t="n">
        <x:f>IF(ISNUMBER(J39),J39-E39,"")</x:f>
        <x:v>0</x:v>
      </x:c>
      <x:c r="N39" s="42" t="n">
        <x:f>IF(AND(ISNUMBER(J39),ISNUMBER('Rules'!$B$8),ISNUMBER('Rules'!$B$9)),'Rules'!$B$8+'Rules'!$B$9*(J39-1),"")</x:f>
        <x:v>85</x:v>
      </x:c>
      <x:c r="O39" s="42" t="n">
        <x:v>10</x:v>
      </x:c>
      <x:c r="P39" s="42" t="n">
        <x:v>900</x:v>
      </x:c>
      <x:c r="Q39" s="42" t="n">
        <x:f>J39-O39</x:f>
        <x:v>0</x:v>
      </x:c>
      <x:c r="R39" s="42" t="n">
        <x:f>K39-P39</x:f>
        <x:v>0</x:v>
      </x:c>
      <x:c r="S39" s="20" t="str">
        <x:v>Holds guardian away from patients.</x:v>
      </x:c>
    </x:row>
    <x:row r="40" ht="28" customHeight="1">
      <x:c r="A40" s="2" t="str">
        <x:v>C11E06</x:v>
      </x:c>
      <x:c r="B40" s="50" t="n">
        <x:v>11</x:v>
      </x:c>
      <x:c r="C40" s="2" t="str">
        <x:v>Kip</x:v>
      </x:c>
      <x:c r="D40" s="2" t="str">
        <x:v>Day 2 15:12:00</x:v>
      </x:c>
      <x:c r="E40" s="31" t="n">
        <x:f>J36</x:f>
        <x:v>6</x:v>
      </x:c>
      <x:c r="F40" s="31" t="n">
        <x:f>K36</x:f>
        <x:v>300</x:v>
      </x:c>
      <x:c r="G40" s="31" t="n">
        <x:v>300</x:v>
      </x:c>
      <x:c r="H40" s="31" t="n">
        <x:f>IF(AND(ISNUMBER(E40),ISNUMBER(F40),ISNUMBER('Rules'!$B$11)),'Rules'!$B$11*(E40-1)*E40/2+F40,"")</x:f>
        <x:v>1800</x:v>
      </x:c>
      <x:c r="I40" s="31" t="n">
        <x:f>IF(AND(ISNUMBER(H40),ISNUMBER(G40)),H40+G40,"")</x:f>
        <x:v>2100</x:v>
      </x:c>
      <x:c r="J40" s="31" t="n">
        <x:f>IF(ISNUMBER(I40),INT((1+SQRT(1+8*I40/'Rules'!$B$11))/2),"")</x:f>
        <x:v>7</x:v>
      </x:c>
      <x:c r="K40" s="31" t="n">
        <x:f>IF(ISNUMBER(J40),I40-'Rules'!$B$11*(J40-1)*J40/2,"")</x:f>
        <x:v>0</x:v>
      </x:c>
      <x:c r="L40" s="31" t="n">
        <x:f>IF(ISNUMBER(J40),'Rules'!$B$11*J40,"")</x:f>
        <x:v>700</x:v>
      </x:c>
      <x:c r="M40" s="31" t="n">
        <x:f>IF(ISNUMBER(J40),J40-E40,"")</x:f>
        <x:v>1</x:v>
      </x:c>
      <x:c r="N40" s="31" t="n">
        <x:f>IF(AND(ISNUMBER(J40),ISNUMBER('Rules'!$B$8),ISNUMBER('Rules'!$B$9)),'Rules'!$B$8+'Rules'!$B$9*(J40-1),"")</x:f>
        <x:v>70</x:v>
      </x:c>
      <x:c r="O40" s="31" t="n">
        <x:v>7</x:v>
      </x:c>
      <x:c r="P40" s="31" t="n">
        <x:v>0</x:v>
      </x:c>
      <x:c r="Q40" s="31" t="n">
        <x:f>J40-O40</x:f>
        <x:v>0</x:v>
      </x:c>
      <x:c r="R40" s="31" t="n">
        <x:f>K40-P40</x:f>
        <x:v>0</x:v>
      </x:c>
      <x:c r="S40" s="19" t="str">
        <x:v>Covers evacuation and organizes consent to new refuge.</x:v>
      </x:c>
    </x:row>
    <x:row r="41" ht="28" customHeight="1">
      <x:c r="A41" s="17" t="str">
        <x:v>C11E06</x:v>
      </x:c>
      <x:c r="B41" s="51" t="n">
        <x:v>11</x:v>
      </x:c>
      <x:c r="C41" s="17" t="str">
        <x:v>Tessa</x:v>
      </x:c>
      <x:c r="D41" s="17" t="str">
        <x:v>Day 2 15:12:00</x:v>
      </x:c>
      <x:c r="E41" s="42" t="n">
        <x:f>J37</x:f>
        <x:v>8</x:v>
      </x:c>
      <x:c r="F41" s="42" t="n">
        <x:f>K37</x:f>
        <x:v>0</x:v>
      </x:c>
      <x:c r="G41" s="42" t="n">
        <x:v>300</x:v>
      </x:c>
      <x:c r="H41" s="42" t="n">
        <x:f>IF(AND(ISNUMBER(E41),ISNUMBER(F41),ISNUMBER('Rules'!$B$11)),'Rules'!$B$11*(E41-1)*E41/2+F41,"")</x:f>
        <x:v>2800</x:v>
      </x:c>
      <x:c r="I41" s="42" t="n">
        <x:f>IF(AND(ISNUMBER(H41),ISNUMBER(G41)),H41+G41,"")</x:f>
        <x:v>3100</x:v>
      </x:c>
      <x:c r="J41" s="42" t="n">
        <x:f>IF(ISNUMBER(I41),INT((1+SQRT(1+8*I41/'Rules'!$B$11))/2),"")</x:f>
        <x:v>8</x:v>
      </x:c>
      <x:c r="K41" s="42" t="n">
        <x:f>IF(ISNUMBER(J41),I41-'Rules'!$B$11*(J41-1)*J41/2,"")</x:f>
        <x:v>300</x:v>
      </x:c>
      <x:c r="L41" s="42" t="n">
        <x:f>IF(ISNUMBER(J41),'Rules'!$B$11*J41,"")</x:f>
        <x:v>800</x:v>
      </x:c>
      <x:c r="M41" s="42" t="n">
        <x:f>IF(ISNUMBER(J41),J41-E41,"")</x:f>
        <x:v>0</x:v>
      </x:c>
      <x:c r="N41" s="42" t="n">
        <x:f>IF(AND(ISNUMBER(J41),ISNUMBER('Rules'!$B$8),ISNUMBER('Rules'!$B$9)),'Rules'!$B$8+'Rules'!$B$9*(J41-1),"")</x:f>
        <x:v>75</x:v>
      </x:c>
      <x:c r="O41" s="42" t="n">
        <x:v>8</x:v>
      </x:c>
      <x:c r="P41" s="42" t="n">
        <x:v>300</x:v>
      </x:c>
      <x:c r="Q41" s="42" t="n">
        <x:f>J41-O41</x:f>
        <x:v>0</x:v>
      </x:c>
      <x:c r="R41" s="42" t="n">
        <x:f>K41-P41</x:f>
        <x:v>0</x:v>
      </x:c>
      <x:c r="S41" s="20" t="str">
        <x:v>Leads all seven through viable escape route.</x:v>
      </x:c>
    </x:row>
    <x:row r="42" ht="36" customHeight="1">
      <x:c r="A42" s="2" t="str">
        <x:v>C11E06</x:v>
      </x:c>
      <x:c r="B42" s="50" t="n">
        <x:v>11</x:v>
      </x:c>
      <x:c r="C42" s="2" t="str">
        <x:v>Owen</x:v>
      </x:c>
      <x:c r="D42" s="2" t="str">
        <x:v>Day 2 15:12:00</x:v>
      </x:c>
      <x:c r="E42" s="31" t="n">
        <x:f>J38</x:f>
        <x:v>10</x:v>
      </x:c>
      <x:c r="F42" s="31" t="n">
        <x:f>K38</x:f>
        <x:v>900</x:v>
      </x:c>
      <x:c r="G42" s="31" t="n">
        <x:v>300</x:v>
      </x:c>
      <x:c r="H42" s="31" t="n">
        <x:f>IF(AND(ISNUMBER(E42),ISNUMBER(F42),ISNUMBER('Rules'!$B$11)),'Rules'!$B$11*(E42-1)*E42/2+F42,"")</x:f>
        <x:v>5400</x:v>
      </x:c>
      <x:c r="I42" s="31" t="n">
        <x:f>IF(AND(ISNUMBER(H42),ISNUMBER(G42)),H42+G42,"")</x:f>
        <x:v>5700</x:v>
      </x:c>
      <x:c r="J42" s="31" t="n">
        <x:f>IF(ISNUMBER(I42),INT((1+SQRT(1+8*I42/'Rules'!$B$11))/2),"")</x:f>
        <x:v>11</x:v>
      </x:c>
      <x:c r="K42" s="31" t="n">
        <x:f>IF(ISNUMBER(J42),I42-'Rules'!$B$11*(J42-1)*J42/2,"")</x:f>
        <x:v>200</x:v>
      </x:c>
      <x:c r="L42" s="31" t="n">
        <x:f>IF(ISNUMBER(J42),'Rules'!$B$11*J42,"")</x:f>
        <x:v>1100</x:v>
      </x:c>
      <x:c r="M42" s="31" t="n">
        <x:f>IF(ISNUMBER(J42),J42-E42,"")</x:f>
        <x:v>1</x:v>
      </x:c>
      <x:c r="N42" s="31" t="n">
        <x:f>IF(AND(ISNUMBER(J42),ISNUMBER('Rules'!$B$8),ISNUMBER('Rules'!$B$9)),'Rules'!$B$8+'Rules'!$B$9*(J42-1),"")</x:f>
        <x:v>90</x:v>
      </x:c>
      <x:c r="O42" s="31" t="n">
        <x:v>11</x:v>
      </x:c>
      <x:c r="P42" s="31" t="n">
        <x:v>200</x:v>
      </x:c>
      <x:c r="Q42" s="31" t="n">
        <x:f>J42-O42</x:f>
        <x:v>0</x:v>
      </x:c>
      <x:c r="R42" s="31" t="n">
        <x:f>K42-P42</x:f>
        <x:v>0</x:v>
      </x:c>
      <x:c r="S42" s="19" t="str">
        <x:v>Physically takes over the litter and directs safe handling when Dane fractures his wrist; applies a mundane splint after escape without repairing bone.</x:v>
      </x:c>
    </x:row>
    <x:row r="43" ht="28" customHeight="1">
      <x:c r="A43" s="17" t="str">
        <x:v>C11E06</x:v>
      </x:c>
      <x:c r="B43" s="51" t="n">
        <x:v>11</x:v>
      </x:c>
      <x:c r="C43" s="17" t="str">
        <x:v>Dane</x:v>
      </x:c>
      <x:c r="D43" s="17" t="str">
        <x:v>Day 2 15:12:00</x:v>
      </x:c>
      <x:c r="E43" s="42" t="n">
        <x:f>J39</x:f>
        <x:v>10</x:v>
      </x:c>
      <x:c r="F43" s="42" t="n">
        <x:f>K39</x:f>
        <x:v>900</x:v>
      </x:c>
      <x:c r="G43" s="42" t="n">
        <x:v>300</x:v>
      </x:c>
      <x:c r="H43" s="42" t="n">
        <x:f>IF(AND(ISNUMBER(E43),ISNUMBER(F43),ISNUMBER('Rules'!$B$11)),'Rules'!$B$11*(E43-1)*E43/2+F43,"")</x:f>
        <x:v>5400</x:v>
      </x:c>
      <x:c r="I43" s="42" t="n">
        <x:f>IF(AND(ISNUMBER(H43),ISNUMBER(G43)),H43+G43,"")</x:f>
        <x:v>5700</x:v>
      </x:c>
      <x:c r="J43" s="42" t="n">
        <x:f>IF(ISNUMBER(I43),INT((1+SQRT(1+8*I43/'Rules'!$B$11))/2),"")</x:f>
        <x:v>11</x:v>
      </x:c>
      <x:c r="K43" s="42" t="n">
        <x:f>IF(ISNUMBER(J43),I43-'Rules'!$B$11*(J43-1)*J43/2,"")</x:f>
        <x:v>200</x:v>
      </x:c>
      <x:c r="L43" s="42" t="n">
        <x:f>IF(ISNUMBER(J43),'Rules'!$B$11*J43,"")</x:f>
        <x:v>1100</x:v>
      </x:c>
      <x:c r="M43" s="42" t="n">
        <x:f>IF(ISNUMBER(J43),J43-E43,"")</x:f>
        <x:v>1</x:v>
      </x:c>
      <x:c r="N43" s="42" t="n">
        <x:f>IF(AND(ISNUMBER(J43),ISNUMBER('Rules'!$B$8),ISNUMBER('Rules'!$B$9)),'Rules'!$B$8+'Rules'!$B$9*(J43-1),"")</x:f>
        <x:v>90</x:v>
      </x:c>
      <x:c r="O43" s="42" t="n">
        <x:v>11</x:v>
      </x:c>
      <x:c r="P43" s="42" t="n">
        <x:v>200</x:v>
      </x:c>
      <x:c r="Q43" s="42" t="n">
        <x:f>J43-O43</x:f>
        <x:v>0</x:v>
      </x:c>
      <x:c r="R43" s="42" t="n">
        <x:f>K43-P43</x:f>
        <x:v>0</x:v>
      </x:c>
      <x:c r="S43" s="20" t="str">
        <x:v>Saves Jory and covers retreat despite injury.</x:v>
      </x:c>
    </x:row>
    <x:row r="44" ht="28" customHeight="1">
      <x:c r="A44" s="2" t="str">
        <x:v>C12E08</x:v>
      </x:c>
      <x:c r="B44" s="50" t="n">
        <x:v>12</x:v>
      </x:c>
      <x:c r="C44" s="2" t="str">
        <x:v>Kip</x:v>
      </x:c>
      <x:c r="D44" s="2" t="str">
        <x:v>Day 2 16:40:00</x:v>
      </x:c>
      <x:c r="E44" s="31" t="n">
        <x:f>J40</x:f>
        <x:v>7</x:v>
      </x:c>
      <x:c r="F44" s="31" t="n">
        <x:f>K40</x:f>
        <x:v>0</x:v>
      </x:c>
      <x:c r="G44" s="31" t="n">
        <x:v>300</x:v>
      </x:c>
      <x:c r="H44" s="31" t="n">
        <x:f>IF(AND(ISNUMBER(E44),ISNUMBER(F44),ISNUMBER('Rules'!$B$11)),'Rules'!$B$11*(E44-1)*E44/2+F44,"")</x:f>
        <x:v>2100</x:v>
      </x:c>
      <x:c r="I44" s="31" t="n">
        <x:f>IF(AND(ISNUMBER(H44),ISNUMBER(G44)),H44+G44,"")</x:f>
        <x:v>2400</x:v>
      </x:c>
      <x:c r="J44" s="31" t="n">
        <x:f>IF(ISNUMBER(I44),INT((1+SQRT(1+8*I44/'Rules'!$B$11))/2),"")</x:f>
        <x:v>7</x:v>
      </x:c>
      <x:c r="K44" s="31" t="n">
        <x:f>IF(ISNUMBER(J44),I44-'Rules'!$B$11*(J44-1)*J44/2,"")</x:f>
        <x:v>300</x:v>
      </x:c>
      <x:c r="L44" s="31" t="n">
        <x:f>IF(ISNUMBER(J44),'Rules'!$B$11*J44,"")</x:f>
        <x:v>700</x:v>
      </x:c>
      <x:c r="M44" s="31" t="n">
        <x:f>IF(ISNUMBER(J44),J44-E44,"")</x:f>
        <x:v>0</x:v>
      </x:c>
      <x:c r="N44" s="31" t="n">
        <x:f>IF(AND(ISNUMBER(J44),ISNUMBER('Rules'!$B$8),ISNUMBER('Rules'!$B$9)),'Rules'!$B$8+'Rules'!$B$9*(J44-1),"")</x:f>
        <x:v>70</x:v>
      </x:c>
      <x:c r="O44" s="31" t="n">
        <x:v>7</x:v>
      </x:c>
      <x:c r="P44" s="31" t="n">
        <x:v>300</x:v>
      </x:c>
      <x:c r="Q44" s="31" t="n">
        <x:f>J44-O44</x:f>
        <x:v>0</x:v>
      </x:c>
      <x:c r="R44" s="31" t="n">
        <x:f>K44-P44</x:f>
        <x:v>0</x:v>
      </x:c>
      <x:c r="S44" s="19" t="str">
        <x:v>Deflects hunters and keeps return path open.</x:v>
      </x:c>
    </x:row>
    <x:row r="45" ht="28" customHeight="1">
      <x:c r="A45" s="17" t="str">
        <x:v>C12E08</x:v>
      </x:c>
      <x:c r="B45" s="51" t="n">
        <x:v>12</x:v>
      </x:c>
      <x:c r="C45" s="17" t="str">
        <x:v>Tessa</x:v>
      </x:c>
      <x:c r="D45" s="17" t="str">
        <x:v>Day 2 16:40:00</x:v>
      </x:c>
      <x:c r="E45" s="42" t="n">
        <x:f>J41</x:f>
        <x:v>8</x:v>
      </x:c>
      <x:c r="F45" s="42" t="n">
        <x:f>K41</x:f>
        <x:v>300</x:v>
      </x:c>
      <x:c r="G45" s="42" t="n">
        <x:v>300</x:v>
      </x:c>
      <x:c r="H45" s="42" t="n">
        <x:f>IF(AND(ISNUMBER(E45),ISNUMBER(F45),ISNUMBER('Rules'!$B$11)),'Rules'!$B$11*(E45-1)*E45/2+F45,"")</x:f>
        <x:v>3100</x:v>
      </x:c>
      <x:c r="I45" s="42" t="n">
        <x:f>IF(AND(ISNUMBER(H45),ISNUMBER(G45)),H45+G45,"")</x:f>
        <x:v>3400</x:v>
      </x:c>
      <x:c r="J45" s="42" t="n">
        <x:f>IF(ISNUMBER(I45),INT((1+SQRT(1+8*I45/'Rules'!$B$11))/2),"")</x:f>
        <x:v>8</x:v>
      </x:c>
      <x:c r="K45" s="42" t="n">
        <x:f>IF(ISNUMBER(J45),I45-'Rules'!$B$11*(J45-1)*J45/2,"")</x:f>
        <x:v>600</x:v>
      </x:c>
      <x:c r="L45" s="42" t="n">
        <x:f>IF(ISNUMBER(J45),'Rules'!$B$11*J45,"")</x:f>
        <x:v>800</x:v>
      </x:c>
      <x:c r="M45" s="42" t="n">
        <x:f>IF(ISNUMBER(J45),J45-E45,"")</x:f>
        <x:v>0</x:v>
      </x:c>
      <x:c r="N45" s="42" t="n">
        <x:f>IF(AND(ISNUMBER(J45),ISNUMBER('Rules'!$B$8),ISNUMBER('Rules'!$B$9)),'Rules'!$B$8+'Rules'!$B$9*(J45-1),"")</x:f>
        <x:v>75</x:v>
      </x:c>
      <x:c r="O45" s="42" t="n">
        <x:v>8</x:v>
      </x:c>
      <x:c r="P45" s="42" t="n">
        <x:v>600</x:v>
      </x:c>
      <x:c r="Q45" s="42" t="n">
        <x:f>J45-O45</x:f>
        <x:v>0</x:v>
      </x:c>
      <x:c r="R45" s="42" t="n">
        <x:f>K45-P45</x:f>
        <x:v>0</x:v>
      </x:c>
      <x:c r="S45" s="20" t="str">
        <x:v>Finds guarded workers and usable route.</x:v>
      </x:c>
    </x:row>
    <x:row r="46" ht="36" customHeight="1">
      <x:c r="A46" s="2" t="str">
        <x:v>C12E08</x:v>
      </x:c>
      <x:c r="B46" s="50" t="n">
        <x:v>12</x:v>
      </x:c>
      <x:c r="C46" s="2" t="str">
        <x:v>Owen</x:v>
      </x:c>
      <x:c r="D46" s="2" t="str">
        <x:v>Day 2 16:40:00</x:v>
      </x:c>
      <x:c r="E46" s="31" t="n">
        <x:f>J42</x:f>
        <x:v>11</x:v>
      </x:c>
      <x:c r="F46" s="31" t="n">
        <x:f>K42</x:f>
        <x:v>200</x:v>
      </x:c>
      <x:c r="G46" s="31" t="n">
        <x:v>300</x:v>
      </x:c>
      <x:c r="H46" s="31" t="n">
        <x:f>IF(AND(ISNUMBER(E46),ISNUMBER(F46),ISNUMBER('Rules'!$B$11)),'Rules'!$B$11*(E46-1)*E46/2+F46,"")</x:f>
        <x:v>5700</x:v>
      </x:c>
      <x:c r="I46" s="31" t="n">
        <x:f>IF(AND(ISNUMBER(H46),ISNUMBER(G46)),H46+G46,"")</x:f>
        <x:v>6000</x:v>
      </x:c>
      <x:c r="J46" s="31" t="n">
        <x:f>IF(ISNUMBER(I46),INT((1+SQRT(1+8*I46/'Rules'!$B$11))/2),"")</x:f>
        <x:v>11</x:v>
      </x:c>
      <x:c r="K46" s="31" t="n">
        <x:f>IF(ISNUMBER(J46),I46-'Rules'!$B$11*(J46-1)*J46/2,"")</x:f>
        <x:v>500</x:v>
      </x:c>
      <x:c r="L46" s="31" t="n">
        <x:f>IF(ISNUMBER(J46),'Rules'!$B$11*J46,"")</x:f>
        <x:v>1100</x:v>
      </x:c>
      <x:c r="M46" s="31" t="n">
        <x:f>IF(ISNUMBER(J46),J46-E46,"")</x:f>
        <x:v>0</x:v>
      </x:c>
      <x:c r="N46" s="31" t="n">
        <x:f>IF(AND(ISNUMBER(J46),ISNUMBER('Rules'!$B$8),ISNUMBER('Rules'!$B$9)),'Rules'!$B$8+'Rules'!$B$9*(J46-1),"")</x:f>
        <x:v>90</x:v>
      </x:c>
      <x:c r="O46" s="31" t="n">
        <x:v>11</x:v>
      </x:c>
      <x:c r="P46" s="31" t="n">
        <x:v>500</x:v>
      </x:c>
      <x:c r="Q46" s="31" t="n">
        <x:f>J46-O46</x:f>
        <x:v>0</x:v>
      </x:c>
      <x:c r="R46" s="31" t="n">
        <x:f>K46-P46</x:f>
        <x:v>0</x:v>
      </x:c>
      <x:c r="S46" s="19" t="str">
        <x:v>Physically hauls climbing Tessa onto the safe ledge and holds their descent line during the hunter attack.</x:v>
      </x:c>
    </x:row>
    <x:row r="47" ht="28" customHeight="1">
      <x:c r="A47" s="17" t="str">
        <x:v>C12E08</x:v>
      </x:c>
      <x:c r="B47" s="51" t="n">
        <x:v>12</x:v>
      </x:c>
      <x:c r="C47" s="17" t="str">
        <x:v>Dane</x:v>
      </x:c>
      <x:c r="D47" s="17" t="str">
        <x:v>Day 2 16:40:00</x:v>
      </x:c>
      <x:c r="E47" s="42" t="n">
        <x:f>J43</x:f>
        <x:v>11</x:v>
      </x:c>
      <x:c r="F47" s="42" t="n">
        <x:f>K43</x:f>
        <x:v>200</x:v>
      </x:c>
      <x:c r="G47" s="42" t="n">
        <x:v>300</x:v>
      </x:c>
      <x:c r="H47" s="42" t="n">
        <x:f>IF(AND(ISNUMBER(E47),ISNUMBER(F47),ISNUMBER('Rules'!$B$11)),'Rules'!$B$11*(E47-1)*E47/2+F47,"")</x:f>
        <x:v>5700</x:v>
      </x:c>
      <x:c r="I47" s="42" t="n">
        <x:f>IF(AND(ISNUMBER(H47),ISNUMBER(G47)),H47+G47,"")</x:f>
        <x:v>6000</x:v>
      </x:c>
      <x:c r="J47" s="42" t="n">
        <x:f>IF(ISNUMBER(I47),INT((1+SQRT(1+8*I47/'Rules'!$B$11))/2),"")</x:f>
        <x:v>11</x:v>
      </x:c>
      <x:c r="K47" s="42" t="n">
        <x:f>IF(ISNUMBER(J47),I47-'Rules'!$B$11*(J47-1)*J47/2,"")</x:f>
        <x:v>500</x:v>
      </x:c>
      <x:c r="L47" s="42" t="n">
        <x:f>IF(ISNUMBER(J47),'Rules'!$B$11*J47,"")</x:f>
        <x:v>1100</x:v>
      </x:c>
      <x:c r="M47" s="42" t="n">
        <x:f>IF(ISNUMBER(J47),J47-E47,"")</x:f>
        <x:v>0</x:v>
      </x:c>
      <x:c r="N47" s="42" t="n">
        <x:f>IF(AND(ISNUMBER(J47),ISNUMBER('Rules'!$B$8),ISNUMBER('Rules'!$B$9)),'Rules'!$B$8+'Rules'!$B$9*(J47-1),"")</x:f>
        <x:v>90</x:v>
      </x:c>
      <x:c r="O47" s="42" t="n">
        <x:v>11</x:v>
      </x:c>
      <x:c r="P47" s="42" t="n">
        <x:v>500</x:v>
      </x:c>
      <x:c r="Q47" s="42" t="n">
        <x:f>J47-O47</x:f>
        <x:v>0</x:v>
      </x:c>
      <x:c r="R47" s="42" t="n">
        <x:f>K47-P47</x:f>
        <x:v>0</x:v>
      </x:c>
      <x:c r="S47" s="20" t="str">
        <x:v>Protects team while they reach testimony.</x:v>
      </x:c>
    </x:row>
    <x:row r="48" ht="28" customHeight="1">
      <x:c r="A48" s="2" t="str">
        <x:v>C14E12</x:v>
      </x:c>
      <x:c r="B48" s="50" t="n">
        <x:v>14</x:v>
      </x:c>
      <x:c r="C48" s="2" t="str">
        <x:v>Kip</x:v>
      </x:c>
      <x:c r="D48" s="2" t="str">
        <x:v>Day 3 08:00:00</x:v>
      </x:c>
      <x:c r="E48" s="31" t="n">
        <x:f>J44</x:f>
        <x:v>7</x:v>
      </x:c>
      <x:c r="F48" s="31" t="n">
        <x:f>K44</x:f>
        <x:v>300</x:v>
      </x:c>
      <x:c r="G48" s="31" t="n">
        <x:v>300</x:v>
      </x:c>
      <x:c r="H48" s="31" t="n">
        <x:f>IF(AND(ISNUMBER(E48),ISNUMBER(F48),ISNUMBER('Rules'!$B$11)),'Rules'!$B$11*(E48-1)*E48/2+F48,"")</x:f>
        <x:v>2400</x:v>
      </x:c>
      <x:c r="I48" s="31" t="n">
        <x:f>IF(AND(ISNUMBER(H48),ISNUMBER(G48)),H48+G48,"")</x:f>
        <x:v>2700</x:v>
      </x:c>
      <x:c r="J48" s="31" t="n">
        <x:f>IF(ISNUMBER(I48),INT((1+SQRT(1+8*I48/'Rules'!$B$11))/2),"")</x:f>
        <x:v>7</x:v>
      </x:c>
      <x:c r="K48" s="31" t="n">
        <x:f>IF(ISNUMBER(J48),I48-'Rules'!$B$11*(J48-1)*J48/2,"")</x:f>
        <x:v>600</x:v>
      </x:c>
      <x:c r="L48" s="31" t="n">
        <x:f>IF(ISNUMBER(J48),'Rules'!$B$11*J48,"")</x:f>
        <x:v>700</x:v>
      </x:c>
      <x:c r="M48" s="31" t="n">
        <x:f>IF(ISNUMBER(J48),J48-E48,"")</x:f>
        <x:v>0</x:v>
      </x:c>
      <x:c r="N48" s="31" t="n">
        <x:f>IF(AND(ISNUMBER(J48),ISNUMBER('Rules'!$B$8),ISNUMBER('Rules'!$B$9)),'Rules'!$B$8+'Rules'!$B$9*(J48-1),"")</x:f>
        <x:v>70</x:v>
      </x:c>
      <x:c r="O48" s="31" t="n">
        <x:v>7</x:v>
      </x:c>
      <x:c r="P48" s="31" t="n">
        <x:v>600</x:v>
      </x:c>
      <x:c r="Q48" s="31" t="n">
        <x:f>J48-O48</x:f>
        <x:v>0</x:v>
      </x:c>
      <x:c r="R48" s="31" t="n">
        <x:f>K48-P48</x:f>
        <x:v>0</x:v>
      </x:c>
      <x:c r="S48" s="19" t="str">
        <x:v>Chooses rescue over apparatus and coordinates defense.</x:v>
      </x:c>
    </x:row>
    <x:row r="49" ht="28" customHeight="1">
      <x:c r="A49" s="17" t="str">
        <x:v>C14E12</x:v>
      </x:c>
      <x:c r="B49" s="51" t="n">
        <x:v>14</x:v>
      </x:c>
      <x:c r="C49" s="17" t="str">
        <x:v>Tessa</x:v>
      </x:c>
      <x:c r="D49" s="17" t="str">
        <x:v>Day 3 08:00:00</x:v>
      </x:c>
      <x:c r="E49" s="42" t="n">
        <x:f>J45</x:f>
        <x:v>8</x:v>
      </x:c>
      <x:c r="F49" s="42" t="n">
        <x:f>K45</x:f>
        <x:v>600</x:v>
      </x:c>
      <x:c r="G49" s="42" t="n">
        <x:v>300</x:v>
      </x:c>
      <x:c r="H49" s="42" t="n">
        <x:f>IF(AND(ISNUMBER(E49),ISNUMBER(F49),ISNUMBER('Rules'!$B$11)),'Rules'!$B$11*(E49-1)*E49/2+F49,"")</x:f>
        <x:v>3400</x:v>
      </x:c>
      <x:c r="I49" s="42" t="n">
        <x:f>IF(AND(ISNUMBER(H49),ISNUMBER(G49)),H49+G49,"")</x:f>
        <x:v>3700</x:v>
      </x:c>
      <x:c r="J49" s="42" t="n">
        <x:f>IF(ISNUMBER(I49),INT((1+SQRT(1+8*I49/'Rules'!$B$11))/2),"")</x:f>
        <x:v>9</x:v>
      </x:c>
      <x:c r="K49" s="42" t="n">
        <x:f>IF(ISNUMBER(J49),I49-'Rules'!$B$11*(J49-1)*J49/2,"")</x:f>
        <x:v>100</x:v>
      </x:c>
      <x:c r="L49" s="42" t="n">
        <x:f>IF(ISNUMBER(J49),'Rules'!$B$11*J49,"")</x:f>
        <x:v>900</x:v>
      </x:c>
      <x:c r="M49" s="42" t="n">
        <x:f>IF(ISNUMBER(J49),J49-E49,"")</x:f>
        <x:v>1</x:v>
      </x:c>
      <x:c r="N49" s="42" t="n">
        <x:f>IF(AND(ISNUMBER(J49),ISNUMBER('Rules'!$B$8),ISNUMBER('Rules'!$B$9)),'Rules'!$B$8+'Rules'!$B$9*(J49-1),"")</x:f>
        <x:v>80</x:v>
      </x:c>
      <x:c r="O49" s="42" t="n">
        <x:v>9</x:v>
      </x:c>
      <x:c r="P49" s="42" t="n">
        <x:v>100</x:v>
      </x:c>
      <x:c r="Q49" s="42" t="n">
        <x:f>J49-O49</x:f>
        <x:v>0</x:v>
      </x:c>
      <x:c r="R49" s="42" t="n">
        <x:f>K49-P49</x:f>
        <x:v>0</x:v>
      </x:c>
      <x:c r="S49" s="20" t="str">
        <x:v>Finds safe path and reaches stranded workers.</x:v>
      </x:c>
    </x:row>
    <x:row r="50" ht="28" customHeight="1">
      <x:c r="A50" s="2" t="str">
        <x:v>C14E12</x:v>
      </x:c>
      <x:c r="B50" s="50" t="n">
        <x:v>14</x:v>
      </x:c>
      <x:c r="C50" s="2" t="str">
        <x:v>Owen</x:v>
      </x:c>
      <x:c r="D50" s="2" t="str">
        <x:v>Day 3 08:00:00</x:v>
      </x:c>
      <x:c r="E50" s="31" t="n">
        <x:f>J46</x:f>
        <x:v>11</x:v>
      </x:c>
      <x:c r="F50" s="31" t="n">
        <x:f>K46</x:f>
        <x:v>500</x:v>
      </x:c>
      <x:c r="G50" s="31" t="n">
        <x:v>300</x:v>
      </x:c>
      <x:c r="H50" s="31" t="n">
        <x:f>IF(AND(ISNUMBER(E50),ISNUMBER(F50),ISNUMBER('Rules'!$B$11)),'Rules'!$B$11*(E50-1)*E50/2+F50,"")</x:f>
        <x:v>6000</x:v>
      </x:c>
      <x:c r="I50" s="31" t="n">
        <x:f>IF(AND(ISNUMBER(H50),ISNUMBER(G50)),H50+G50,"")</x:f>
        <x:v>6300</x:v>
      </x:c>
      <x:c r="J50" s="31" t="n">
        <x:f>IF(ISNUMBER(I50),INT((1+SQRT(1+8*I50/'Rules'!$B$11))/2),"")</x:f>
        <x:v>11</x:v>
      </x:c>
      <x:c r="K50" s="31" t="n">
        <x:f>IF(ISNUMBER(J50),I50-'Rules'!$B$11*(J50-1)*J50/2,"")</x:f>
        <x:v>800</x:v>
      </x:c>
      <x:c r="L50" s="31" t="n">
        <x:f>IF(ISNUMBER(J50),'Rules'!$B$11*J50,"")</x:f>
        <x:v>1100</x:v>
      </x:c>
      <x:c r="M50" s="31" t="n">
        <x:f>IF(ISNUMBER(J50),J50-E50,"")</x:f>
        <x:v>0</x:v>
      </x:c>
      <x:c r="N50" s="31" t="n">
        <x:f>IF(AND(ISNUMBER(J50),ISNUMBER('Rules'!$B$8),ISNUMBER('Rules'!$B$9)),'Rules'!$B$8+'Rules'!$B$9*(J50-1),"")</x:f>
        <x:v>90</x:v>
      </x:c>
      <x:c r="O50" s="31" t="n">
        <x:v>11</x:v>
      </x:c>
      <x:c r="P50" s="31" t="n">
        <x:v>800</x:v>
      </x:c>
      <x:c r="Q50" s="31" t="n">
        <x:f>J50-O50</x:f>
        <x:v>0</x:v>
      </x:c>
      <x:c r="R50" s="31" t="n">
        <x:f>K50-P50</x:f>
        <x:v>0</x:v>
      </x:c>
      <x:c r="S50" s="19" t="str">
        <x:v>Treats both rescued people and directs physical aftercare.</x:v>
      </x:c>
    </x:row>
    <x:row r="51" ht="28" customHeight="1">
      <x:c r="A51" s="17" t="str">
        <x:v>C14E12</x:v>
      </x:c>
      <x:c r="B51" s="51" t="n">
        <x:v>14</x:v>
      </x:c>
      <x:c r="C51" s="17" t="str">
        <x:v>Dane</x:v>
      </x:c>
      <x:c r="D51" s="17" t="str">
        <x:v>Day 3 08:00:00</x:v>
      </x:c>
      <x:c r="E51" s="42" t="n">
        <x:f>J47</x:f>
        <x:v>11</x:v>
      </x:c>
      <x:c r="F51" s="42" t="n">
        <x:f>K47</x:f>
        <x:v>500</x:v>
      </x:c>
      <x:c r="G51" s="42" t="n">
        <x:v>300</x:v>
      </x:c>
      <x:c r="H51" s="42" t="n">
        <x:f>IF(AND(ISNUMBER(E51),ISNUMBER(F51),ISNUMBER('Rules'!$B$11)),'Rules'!$B$11*(E51-1)*E51/2+F51,"")</x:f>
        <x:v>6000</x:v>
      </x:c>
      <x:c r="I51" s="42" t="n">
        <x:f>IF(AND(ISNUMBER(H51),ISNUMBER(G51)),H51+G51,"")</x:f>
        <x:v>6300</x:v>
      </x:c>
      <x:c r="J51" s="42" t="n">
        <x:f>IF(ISNUMBER(I51),INT((1+SQRT(1+8*I51/'Rules'!$B$11))/2),"")</x:f>
        <x:v>11</x:v>
      </x:c>
      <x:c r="K51" s="42" t="n">
        <x:f>IF(ISNUMBER(J51),I51-'Rules'!$B$11*(J51-1)*J51/2,"")</x:f>
        <x:v>800</x:v>
      </x:c>
      <x:c r="L51" s="42" t="n">
        <x:f>IF(ISNUMBER(J51),'Rules'!$B$11*J51,"")</x:f>
        <x:v>1100</x:v>
      </x:c>
      <x:c r="M51" s="42" t="n">
        <x:f>IF(ISNUMBER(J51),J51-E51,"")</x:f>
        <x:v>0</x:v>
      </x:c>
      <x:c r="N51" s="42" t="n">
        <x:f>IF(AND(ISNUMBER(J51),ISNUMBER('Rules'!$B$8),ISNUMBER('Rules'!$B$9)),'Rules'!$B$8+'Rules'!$B$9*(J51-1),"")</x:f>
        <x:v>90</x:v>
      </x:c>
      <x:c r="O51" s="42" t="n">
        <x:v>11</x:v>
      </x:c>
      <x:c r="P51" s="42" t="n">
        <x:v>800</x:v>
      </x:c>
      <x:c r="Q51" s="42" t="n">
        <x:f>J51-O51</x:f>
        <x:v>0</x:v>
      </x:c>
      <x:c r="R51" s="42" t="n">
        <x:f>K51-P51</x:f>
        <x:v>0</x:v>
      </x:c>
      <x:c r="S51" s="20" t="str">
        <x:v>Interposes and covers evacuation.</x:v>
      </x:c>
    </x:row>
    <x:row r="52" ht="36" customHeight="1">
      <x:c r="A52" s="2" t="str">
        <x:v>C17E08</x:v>
      </x:c>
      <x:c r="B52" s="50" t="n">
        <x:v>17</x:v>
      </x:c>
      <x:c r="C52" s="2" t="str">
        <x:v>Kip</x:v>
      </x:c>
      <x:c r="D52" s="2" t="str">
        <x:v>Day 4 06:35:00</x:v>
      </x:c>
      <x:c r="E52" s="31" t="n">
        <x:f>J48</x:f>
        <x:v>7</x:v>
      </x:c>
      <x:c r="F52" s="31" t="n">
        <x:f>K48</x:f>
        <x:v>600</x:v>
      </x:c>
      <x:c r="G52" s="31" t="n">
        <x:v>300</x:v>
      </x:c>
      <x:c r="H52" s="31" t="n">
        <x:f>IF(AND(ISNUMBER(E52),ISNUMBER(F52),ISNUMBER('Rules'!$B$11)),'Rules'!$B$11*(E52-1)*E52/2+F52,"")</x:f>
        <x:v>2700</x:v>
      </x:c>
      <x:c r="I52" s="31" t="n">
        <x:f>IF(AND(ISNUMBER(H52),ISNUMBER(G52)),H52+G52,"")</x:f>
        <x:v>3000</x:v>
      </x:c>
      <x:c r="J52" s="31" t="n">
        <x:f>IF(ISNUMBER(I52),INT((1+SQRT(1+8*I52/'Rules'!$B$11))/2),"")</x:f>
        <x:v>8</x:v>
      </x:c>
      <x:c r="K52" s="31" t="n">
        <x:f>IF(ISNUMBER(J52),I52-'Rules'!$B$11*(J52-1)*J52/2,"")</x:f>
        <x:v>200</x:v>
      </x:c>
      <x:c r="L52" s="31" t="n">
        <x:f>IF(ISNUMBER(J52),'Rules'!$B$11*J52,"")</x:f>
        <x:v>800</x:v>
      </x:c>
      <x:c r="M52" s="31" t="n">
        <x:f>IF(ISNUMBER(J52),J52-E52,"")</x:f>
        <x:v>1</x:v>
      </x:c>
      <x:c r="N52" s="31" t="n">
        <x:f>IF(AND(ISNUMBER(J52),ISNUMBER('Rules'!$B$8),ISNUMBER('Rules'!$B$9)),'Rules'!$B$8+'Rules'!$B$9*(J52-1),"")</x:f>
        <x:v>75</x:v>
      </x:c>
      <x:c r="O52" s="31" t="n">
        <x:v>8</x:v>
      </x:c>
      <x:c r="P52" s="31" t="n">
        <x:v>200</x:v>
      </x:c>
      <x:c r="Q52" s="31" t="n">
        <x:f>J52-O52</x:f>
        <x:v>0</x:v>
      </x:c>
      <x:c r="R52" s="31" t="n">
        <x:f>K52-P52</x:f>
        <x:v>0</x:v>
      </x:c>
      <x:c r="S52" s="19" t="str">
        <x:v>Defends workers while reconnecting safe outlet and sealing separate hostile conduit.</x:v>
      </x:c>
    </x:row>
    <x:row r="53" ht="28" customHeight="1">
      <x:c r="A53" s="17" t="str">
        <x:v>C17E08</x:v>
      </x:c>
      <x:c r="B53" s="51" t="n">
        <x:v>17</x:v>
      </x:c>
      <x:c r="C53" s="17" t="str">
        <x:v>Tessa</x:v>
      </x:c>
      <x:c r="D53" s="17" t="str">
        <x:v>Day 4 06:35:00</x:v>
      </x:c>
      <x:c r="E53" s="42" t="n">
        <x:f>J49</x:f>
        <x:v>9</x:v>
      </x:c>
      <x:c r="F53" s="42" t="n">
        <x:f>K49</x:f>
        <x:v>100</x:v>
      </x:c>
      <x:c r="G53" s="42" t="n">
        <x:v>300</x:v>
      </x:c>
      <x:c r="H53" s="42" t="n">
        <x:f>IF(AND(ISNUMBER(E53),ISNUMBER(F53),ISNUMBER('Rules'!$B$11)),'Rules'!$B$11*(E53-1)*E53/2+F53,"")</x:f>
        <x:v>3700</x:v>
      </x:c>
      <x:c r="I53" s="42" t="n">
        <x:f>IF(AND(ISNUMBER(H53),ISNUMBER(G53)),H53+G53,"")</x:f>
        <x:v>4000</x:v>
      </x:c>
      <x:c r="J53" s="42" t="n">
        <x:f>IF(ISNUMBER(I53),INT((1+SQRT(1+8*I53/'Rules'!$B$11))/2),"")</x:f>
        <x:v>9</x:v>
      </x:c>
      <x:c r="K53" s="42" t="n">
        <x:f>IF(ISNUMBER(J53),I53-'Rules'!$B$11*(J53-1)*J53/2,"")</x:f>
        <x:v>400</x:v>
      </x:c>
      <x:c r="L53" s="42" t="n">
        <x:f>IF(ISNUMBER(J53),'Rules'!$B$11*J53,"")</x:f>
        <x:v>900</x:v>
      </x:c>
      <x:c r="M53" s="42" t="n">
        <x:f>IF(ISNUMBER(J53),J53-E53,"")</x:f>
        <x:v>0</x:v>
      </x:c>
      <x:c r="N53" s="42" t="n">
        <x:f>IF(AND(ISNUMBER(J53),ISNUMBER('Rules'!$B$8),ISNUMBER('Rules'!$B$9)),'Rules'!$B$8+'Rules'!$B$9*(J53-1),"")</x:f>
        <x:v>80</x:v>
      </x:c>
      <x:c r="O53" s="42" t="n">
        <x:v>9</x:v>
      </x:c>
      <x:c r="P53" s="42" t="n">
        <x:v>400</x:v>
      </x:c>
      <x:c r="Q53" s="42" t="n">
        <x:f>J53-O53</x:f>
        <x:v>0</x:v>
      </x:c>
      <x:c r="R53" s="42" t="n">
        <x:f>K53-P53</x:f>
        <x:v>0</x:v>
      </x:c>
      <x:c r="S53" s="20" t="str">
        <x:v>Scouts real approach and exposes necessary physical support.</x:v>
      </x:c>
    </x:row>
    <x:row r="54" ht="36" customHeight="1">
      <x:c r="A54" s="2" t="str">
        <x:v>C17E08</x:v>
      </x:c>
      <x:c r="B54" s="50" t="n">
        <x:v>17</x:v>
      </x:c>
      <x:c r="C54" s="2" t="str">
        <x:v>Owen</x:v>
      </x:c>
      <x:c r="D54" s="2" t="str">
        <x:v>Day 4 06:35:00</x:v>
      </x:c>
      <x:c r="E54" s="31" t="n">
        <x:f>J50</x:f>
        <x:v>11</x:v>
      </x:c>
      <x:c r="F54" s="31" t="n">
        <x:f>K50</x:f>
        <x:v>800</x:v>
      </x:c>
      <x:c r="G54" s="31" t="n">
        <x:v>300</x:v>
      </x:c>
      <x:c r="H54" s="31" t="n">
        <x:f>IF(AND(ISNUMBER(E54),ISNUMBER(F54),ISNUMBER('Rules'!$B$11)),'Rules'!$B$11*(E54-1)*E54/2+F54,"")</x:f>
        <x:v>6300</x:v>
      </x:c>
      <x:c r="I54" s="31" t="n">
        <x:f>IF(AND(ISNUMBER(H54),ISNUMBER(G54)),H54+G54,"")</x:f>
        <x:v>6600</x:v>
      </x:c>
      <x:c r="J54" s="31" t="n">
        <x:f>IF(ISNUMBER(I54),INT((1+SQRT(1+8*I54/'Rules'!$B$11))/2),"")</x:f>
        <x:v>12</x:v>
      </x:c>
      <x:c r="K54" s="31" t="n">
        <x:f>IF(ISNUMBER(J54),I54-'Rules'!$B$11*(J54-1)*J54/2,"")</x:f>
        <x:v>0</x:v>
      </x:c>
      <x:c r="L54" s="31" t="n">
        <x:f>IF(ISNUMBER(J54),'Rules'!$B$11*J54,"")</x:f>
        <x:v>1200</x:v>
      </x:c>
      <x:c r="M54" s="31" t="n">
        <x:f>IF(ISNUMBER(J54),J54-E54,"")</x:f>
        <x:v>1</x:v>
      </x:c>
      <x:c r="N54" s="31" t="n">
        <x:f>IF(AND(ISNUMBER(J54),ISNUMBER('Rules'!$B$8),ISNUMBER('Rules'!$B$9)),'Rules'!$B$8+'Rules'!$B$9*(J54-1),"")</x:f>
        <x:v>95</x:v>
      </x:c>
      <x:c r="O54" s="31" t="n">
        <x:v>12</x:v>
      </x:c>
      <x:c r="P54" s="31" t="n">
        <x:v>0</x:v>
      </x:c>
      <x:c r="Q54" s="31" t="n">
        <x:f>J54-O54</x:f>
        <x:v>0</x:v>
      </x:c>
      <x:c r="R54" s="31" t="n">
        <x:f>K54-P54</x:f>
        <x:v>0</x:v>
      </x:c>
      <x:c r="S54" s="19" t="str">
        <x:v>Directs Jory protected transfer and physically steadies a worker on the outlet platform during the danger.</x:v>
      </x:c>
    </x:row>
    <x:row r="55" ht="28" customHeight="1">
      <x:c r="A55" s="17" t="str">
        <x:v>C17E08</x:v>
      </x:c>
      <x:c r="B55" s="51" t="n">
        <x:v>17</x:v>
      </x:c>
      <x:c r="C55" s="17" t="str">
        <x:v>Dane</x:v>
      </x:c>
      <x:c r="D55" s="17" t="str">
        <x:v>Day 4 06:35:00</x:v>
      </x:c>
      <x:c r="E55" s="42" t="n">
        <x:f>J51</x:f>
        <x:v>11</x:v>
      </x:c>
      <x:c r="F55" s="42" t="n">
        <x:f>K51</x:f>
        <x:v>800</x:v>
      </x:c>
      <x:c r="G55" s="42" t="n">
        <x:v>300</x:v>
      </x:c>
      <x:c r="H55" s="42" t="n">
        <x:f>IF(AND(ISNUMBER(E55),ISNUMBER(F55),ISNUMBER('Rules'!$B$11)),'Rules'!$B$11*(E55-1)*E55/2+F55,"")</x:f>
        <x:v>6300</x:v>
      </x:c>
      <x:c r="I55" s="42" t="n">
        <x:f>IF(AND(ISNUMBER(H55),ISNUMBER(G55)),H55+G55,"")</x:f>
        <x:v>6600</x:v>
      </x:c>
      <x:c r="J55" s="42" t="n">
        <x:f>IF(ISNUMBER(I55),INT((1+SQRT(1+8*I55/'Rules'!$B$11))/2),"")</x:f>
        <x:v>12</x:v>
      </x:c>
      <x:c r="K55" s="42" t="n">
        <x:f>IF(ISNUMBER(J55),I55-'Rules'!$B$11*(J55-1)*J55/2,"")</x:f>
        <x:v>0</x:v>
      </x:c>
      <x:c r="L55" s="42" t="n">
        <x:f>IF(ISNUMBER(J55),'Rules'!$B$11*J55,"")</x:f>
        <x:v>1200</x:v>
      </x:c>
      <x:c r="M55" s="42" t="n">
        <x:f>IF(ISNUMBER(J55),J55-E55,"")</x:f>
        <x:v>1</x:v>
      </x:c>
      <x:c r="N55" s="42" t="n">
        <x:f>IF(AND(ISNUMBER(J55),ISNUMBER('Rules'!$B$8),ISNUMBER('Rules'!$B$9)),'Rules'!$B$8+'Rules'!$B$9*(J55-1),"")</x:f>
        <x:v>95</x:v>
      </x:c>
      <x:c r="O55" s="42" t="n">
        <x:v>12</x:v>
      </x:c>
      <x:c r="P55" s="42" t="n">
        <x:v>0</x:v>
      </x:c>
      <x:c r="Q55" s="42" t="n">
        <x:f>J55-O55</x:f>
        <x:v>0</x:v>
      </x:c>
      <x:c r="R55" s="42" t="n">
        <x:f>K55-P55</x:f>
        <x:v>0</x:v>
      </x:c>
      <x:c r="S55" s="20" t="str">
        <x:v>Covers both work parties with legally spaced defenses.</x:v>
      </x:c>
    </x:row>
    <x:row r="56" ht="28" customHeight="1">
      <x:c r="A56" s="2" t="str">
        <x:v>C18E06</x:v>
      </x:c>
      <x:c r="B56" s="50" t="n">
        <x:v>18</x:v>
      </x:c>
      <x:c r="C56" s="2" t="str">
        <x:v>Kip</x:v>
      </x:c>
      <x:c r="D56" s="2" t="str">
        <x:v>Day 4 08:20:00</x:v>
      </x:c>
      <x:c r="E56" s="31" t="n">
        <x:f>J52</x:f>
        <x:v>8</x:v>
      </x:c>
      <x:c r="F56" s="31" t="n">
        <x:f>K52</x:f>
        <x:v>200</x:v>
      </x:c>
      <x:c r="G56" s="31" t="n">
        <x:v>300</x:v>
      </x:c>
      <x:c r="H56" s="31" t="n">
        <x:f>IF(AND(ISNUMBER(E56),ISNUMBER(F56),ISNUMBER('Rules'!$B$11)),'Rules'!$B$11*(E56-1)*E56/2+F56,"")</x:f>
        <x:v>3000</x:v>
      </x:c>
      <x:c r="I56" s="31" t="n">
        <x:f>IF(AND(ISNUMBER(H56),ISNUMBER(G56)),H56+G56,"")</x:f>
        <x:v>3300</x:v>
      </x:c>
      <x:c r="J56" s="31" t="n">
        <x:f>IF(ISNUMBER(I56),INT((1+SQRT(1+8*I56/'Rules'!$B$11))/2),"")</x:f>
        <x:v>8</x:v>
      </x:c>
      <x:c r="K56" s="31" t="n">
        <x:f>IF(ISNUMBER(J56),I56-'Rules'!$B$11*(J56-1)*J56/2,"")</x:f>
        <x:v>500</x:v>
      </x:c>
      <x:c r="L56" s="31" t="n">
        <x:f>IF(ISNUMBER(J56),'Rules'!$B$11*J56,"")</x:f>
        <x:v>800</x:v>
      </x:c>
      <x:c r="M56" s="31" t="n">
        <x:f>IF(ISNUMBER(J56),J56-E56,"")</x:f>
        <x:v>0</x:v>
      </x:c>
      <x:c r="N56" s="31" t="n">
        <x:f>IF(AND(ISNUMBER(J56),ISNUMBER('Rules'!$B$8),ISNUMBER('Rules'!$B$9)),'Rules'!$B$8+'Rules'!$B$9*(J56-1),"")</x:f>
        <x:v>75</x:v>
      </x:c>
      <x:c r="O56" s="31" t="n">
        <x:v>8</x:v>
      </x:c>
      <x:c r="P56" s="31" t="n">
        <x:v>500</x:v>
      </x:c>
      <x:c r="Q56" s="31" t="n">
        <x:f>J56-O56</x:f>
        <x:v>0</x:v>
      </x:c>
      <x:c r="R56" s="31" t="n">
        <x:f>K56-P56</x:f>
        <x:v>0</x:v>
      </x:c>
      <x:c r="S56" s="19" t="str">
        <x:v>Coordinates fixture and timed Ward against distinct finalapproachguardian.</x:v>
      </x:c>
    </x:row>
    <x:row r="57" ht="28" customHeight="1">
      <x:c r="A57" s="17" t="str">
        <x:v>C18E06</x:v>
      </x:c>
      <x:c r="B57" s="51" t="n">
        <x:v>18</x:v>
      </x:c>
      <x:c r="C57" s="17" t="str">
        <x:v>Tessa</x:v>
      </x:c>
      <x:c r="D57" s="17" t="str">
        <x:v>Day 4 08:20:00</x:v>
      </x:c>
      <x:c r="E57" s="42" t="n">
        <x:f>J53</x:f>
        <x:v>9</x:v>
      </x:c>
      <x:c r="F57" s="42" t="n">
        <x:f>K53</x:f>
        <x:v>400</x:v>
      </x:c>
      <x:c r="G57" s="42" t="n">
        <x:v>300</x:v>
      </x:c>
      <x:c r="H57" s="42" t="n">
        <x:f>IF(AND(ISNUMBER(E57),ISNUMBER(F57),ISNUMBER('Rules'!$B$11)),'Rules'!$B$11*(E57-1)*E57/2+F57,"")</x:f>
        <x:v>4000</x:v>
      </x:c>
      <x:c r="I57" s="42" t="n">
        <x:f>IF(AND(ISNUMBER(H57),ISNUMBER(G57)),H57+G57,"")</x:f>
        <x:v>4300</x:v>
      </x:c>
      <x:c r="J57" s="42" t="n">
        <x:f>IF(ISNUMBER(I57),INT((1+SQRT(1+8*I57/'Rules'!$B$11))/2),"")</x:f>
        <x:v>9</x:v>
      </x:c>
      <x:c r="K57" s="42" t="n">
        <x:f>IF(ISNUMBER(J57),I57-'Rules'!$B$11*(J57-1)*J57/2,"")</x:f>
        <x:v>700</x:v>
      </x:c>
      <x:c r="L57" s="42" t="n">
        <x:f>IF(ISNUMBER(J57),'Rules'!$B$11*J57,"")</x:f>
        <x:v>900</x:v>
      </x:c>
      <x:c r="M57" s="42" t="n">
        <x:f>IF(ISNUMBER(J57),J57-E57,"")</x:f>
        <x:v>0</x:v>
      </x:c>
      <x:c r="N57" s="42" t="n">
        <x:f>IF(AND(ISNUMBER(J57),ISNUMBER('Rules'!$B$8),ISNUMBER('Rules'!$B$9)),'Rules'!$B$8+'Rules'!$B$9*(J57-1),"")</x:f>
        <x:v>80</x:v>
      </x:c>
      <x:c r="O57" s="42" t="n">
        <x:v>9</x:v>
      </x:c>
      <x:c r="P57" s="42" t="n">
        <x:v>700</x:v>
      </x:c>
      <x:c r="Q57" s="42" t="n">
        <x:f>J57-O57</x:f>
        <x:v>0</x:v>
      </x:c>
      <x:c r="R57" s="42" t="n">
        <x:f>K57-P57</x:f>
        <x:v>0</x:v>
      </x:c>
      <x:c r="S57" s="20" t="str">
        <x:v>Finds flank and gives others safe line.</x:v>
      </x:c>
    </x:row>
    <x:row r="58" ht="36" customHeight="1">
      <x:c r="A58" s="2" t="str">
        <x:v>C18E06</x:v>
      </x:c>
      <x:c r="B58" s="50" t="n">
        <x:v>18</x:v>
      </x:c>
      <x:c r="C58" s="2" t="str">
        <x:v>Owen</x:v>
      </x:c>
      <x:c r="D58" s="2" t="str">
        <x:v>Day 4 08:20:00</x:v>
      </x:c>
      <x:c r="E58" s="31" t="n">
        <x:f>J54</x:f>
        <x:v>12</x:v>
      </x:c>
      <x:c r="F58" s="31" t="n">
        <x:f>K54</x:f>
        <x:v>0</x:v>
      </x:c>
      <x:c r="G58" s="31" t="n">
        <x:v>300</x:v>
      </x:c>
      <x:c r="H58" s="31" t="n">
        <x:f>IF(AND(ISNUMBER(E58),ISNUMBER(F58),ISNUMBER('Rules'!$B$11)),'Rules'!$B$11*(E58-1)*E58/2+F58,"")</x:f>
        <x:v>6600</x:v>
      </x:c>
      <x:c r="I58" s="31" t="n">
        <x:f>IF(AND(ISNUMBER(H58),ISNUMBER(G58)),H58+G58,"")</x:f>
        <x:v>6900</x:v>
      </x:c>
      <x:c r="J58" s="31" t="n">
        <x:f>IF(ISNUMBER(I58),INT((1+SQRT(1+8*I58/'Rules'!$B$11))/2),"")</x:f>
        <x:v>12</x:v>
      </x:c>
      <x:c r="K58" s="31" t="n">
        <x:f>IF(ISNUMBER(J58),I58-'Rules'!$B$11*(J58-1)*J58/2,"")</x:f>
        <x:v>300</x:v>
      </x:c>
      <x:c r="L58" s="31" t="n">
        <x:f>IF(ISNUMBER(J58),'Rules'!$B$11*J58,"")</x:f>
        <x:v>1200</x:v>
      </x:c>
      <x:c r="M58" s="31" t="n">
        <x:f>IF(ISNUMBER(J58),J58-E58,"")</x:f>
        <x:v>0</x:v>
      </x:c>
      <x:c r="N58" s="31" t="n">
        <x:f>IF(AND(ISNUMBER(J58),ISNUMBER('Rules'!$B$8),ISNUMBER('Rules'!$B$9)),'Rules'!$B$8+'Rules'!$B$9*(J58-1),"")</x:f>
        <x:v>95</x:v>
      </x:c>
      <x:c r="O58" s="31" t="n">
        <x:v>12</x:v>
      </x:c>
      <x:c r="P58" s="31" t="n">
        <x:v>300</x:v>
      </x:c>
      <x:c r="Q58" s="31" t="n">
        <x:f>J58-O58</x:f>
        <x:v>0</x:v>
      </x:c>
      <x:c r="R58" s="31" t="n">
        <x:f>K58-P58</x:f>
        <x:v>0</x:v>
      </x:c>
      <x:c r="S58" s="19" t="str">
        <x:v>Pulls the ordinary retreat line to keep Kip outside the guardian attack lane and physically opens their safe return.</x:v>
      </x:c>
    </x:row>
    <x:row r="59" ht="28" customHeight="1">
      <x:c r="A59" s="17" t="str">
        <x:v>C18E06</x:v>
      </x:c>
      <x:c r="B59" s="51" t="n">
        <x:v>18</x:v>
      </x:c>
      <x:c r="C59" s="17" t="str">
        <x:v>Dane</x:v>
      </x:c>
      <x:c r="D59" s="17" t="str">
        <x:v>Day 4 08:20:00</x:v>
      </x:c>
      <x:c r="E59" s="42" t="n">
        <x:f>J55</x:f>
        <x:v>12</x:v>
      </x:c>
      <x:c r="F59" s="42" t="n">
        <x:f>K55</x:f>
        <x:v>0</x:v>
      </x:c>
      <x:c r="G59" s="42" t="n">
        <x:v>300</x:v>
      </x:c>
      <x:c r="H59" s="42" t="n">
        <x:f>IF(AND(ISNUMBER(E59),ISNUMBER(F59),ISNUMBER('Rules'!$B$11)),'Rules'!$B$11*(E59-1)*E59/2+F59,"")</x:f>
        <x:v>6600</x:v>
      </x:c>
      <x:c r="I59" s="42" t="n">
        <x:f>IF(AND(ISNUMBER(H59),ISNUMBER(G59)),H59+G59,"")</x:f>
        <x:v>6900</x:v>
      </x:c>
      <x:c r="J59" s="42" t="n">
        <x:f>IF(ISNUMBER(I59),INT((1+SQRT(1+8*I59/'Rules'!$B$11))/2),"")</x:f>
        <x:v>12</x:v>
      </x:c>
      <x:c r="K59" s="42" t="n">
        <x:f>IF(ISNUMBER(J59),I59-'Rules'!$B$11*(J59-1)*J59/2,"")</x:f>
        <x:v>300</x:v>
      </x:c>
      <x:c r="L59" s="42" t="n">
        <x:f>IF(ISNUMBER(J59),'Rules'!$B$11*J59,"")</x:f>
        <x:v>1200</x:v>
      </x:c>
      <x:c r="M59" s="42" t="n">
        <x:f>IF(ISNUMBER(J59),J59-E59,"")</x:f>
        <x:v>0</x:v>
      </x:c>
      <x:c r="N59" s="42" t="n">
        <x:f>IF(AND(ISNUMBER(J59),ISNUMBER('Rules'!$B$8),ISNUMBER('Rules'!$B$9)),'Rules'!$B$8+'Rules'!$B$9*(J59-1),"")</x:f>
        <x:v>95</x:v>
      </x:c>
      <x:c r="O59" s="42" t="n">
        <x:v>12</x:v>
      </x:c>
      <x:c r="P59" s="42" t="n">
        <x:v>300</x:v>
      </x:c>
      <x:c r="Q59" s="42" t="n">
        <x:f>J59-O59</x:f>
        <x:v>0</x:v>
      </x:c>
      <x:c r="R59" s="42" t="n">
        <x:f>K59-P59</x:f>
        <x:v>0</x:v>
      </x:c>
      <x:c r="S59" s="20" t="str">
        <x:v>Intercepts and holds guardian while others act.</x:v>
      </x:c>
    </x:row>
    <x:row r="60" ht="28" customHeight="1">
      <x:c r="A60" s="2" t="str">
        <x:v>C19E12</x:v>
      </x:c>
      <x:c r="B60" s="50" t="n">
        <x:v>19</x:v>
      </x:c>
      <x:c r="C60" s="2" t="str">
        <x:v>Kip</x:v>
      </x:c>
      <x:c r="D60" s="2" t="str">
        <x:v>Day 4 09:04:00</x:v>
      </x:c>
      <x:c r="E60" s="31" t="n">
        <x:f>J56</x:f>
        <x:v>8</x:v>
      </x:c>
      <x:c r="F60" s="31" t="n">
        <x:f>K56</x:f>
        <x:v>500</x:v>
      </x:c>
      <x:c r="G60" s="31" t="n">
        <x:v>300</x:v>
      </x:c>
      <x:c r="H60" s="31" t="n">
        <x:f>IF(AND(ISNUMBER(E60),ISNUMBER(F60),ISNUMBER('Rules'!$B$11)),'Rules'!$B$11*(E60-1)*E60/2+F60,"")</x:f>
        <x:v>3300</x:v>
      </x:c>
      <x:c r="I60" s="31" t="n">
        <x:f>IF(AND(ISNUMBER(H60),ISNUMBER(G60)),H60+G60,"")</x:f>
        <x:v>3600</x:v>
      </x:c>
      <x:c r="J60" s="31" t="n">
        <x:f>IF(ISNUMBER(I60),INT((1+SQRT(1+8*I60/'Rules'!$B$11))/2),"")</x:f>
        <x:v>9</x:v>
      </x:c>
      <x:c r="K60" s="31" t="n">
        <x:f>IF(ISNUMBER(J60),I60-'Rules'!$B$11*(J60-1)*J60/2,"")</x:f>
        <x:v>0</x:v>
      </x:c>
      <x:c r="L60" s="31" t="n">
        <x:f>IF(ISNUMBER(J60),'Rules'!$B$11*J60,"")</x:f>
        <x:v>900</x:v>
      </x:c>
      <x:c r="M60" s="31" t="n">
        <x:f>IF(ISNUMBER(J60),J60-E60,"")</x:f>
        <x:v>1</x:v>
      </x:c>
      <x:c r="N60" s="31" t="n">
        <x:f>IF(AND(ISNUMBER(J60),ISNUMBER('Rules'!$B$8),ISNUMBER('Rules'!$B$9)),'Rules'!$B$8+'Rules'!$B$9*(J60-1),"")</x:f>
        <x:v>80</x:v>
      </x:c>
      <x:c r="O60" s="31" t="n">
        <x:v>9</x:v>
      </x:c>
      <x:c r="P60" s="31" t="n">
        <x:v>0</x:v>
      </x:c>
      <x:c r="Q60" s="31" t="n">
        <x:f>J60-O60</x:f>
        <x:v>0</x:v>
      </x:c>
      <x:c r="R60" s="31" t="n">
        <x:f>K60-P60</x:f>
        <x:v>0</x:v>
      </x:c>
      <x:c r="S60" s="19" t="str">
        <x:v>RedirectsthreefixturesandplacesknownWardswhilerefusingownershipofpeople.</x:v>
      </x:c>
    </x:row>
    <x:row r="61" ht="28" customHeight="1">
      <x:c r="A61" s="17" t="str">
        <x:v>C19E12</x:v>
      </x:c>
      <x:c r="B61" s="51" t="n">
        <x:v>19</x:v>
      </x:c>
      <x:c r="C61" s="17" t="str">
        <x:v>Tessa</x:v>
      </x:c>
      <x:c r="D61" s="17" t="str">
        <x:v>Day 4 09:04:00</x:v>
      </x:c>
      <x:c r="E61" s="42" t="n">
        <x:f>J57</x:f>
        <x:v>9</x:v>
      </x:c>
      <x:c r="F61" s="42" t="n">
        <x:f>K57</x:f>
        <x:v>700</x:v>
      </x:c>
      <x:c r="G61" s="42" t="n">
        <x:v>300</x:v>
      </x:c>
      <x:c r="H61" s="42" t="n">
        <x:f>IF(AND(ISNUMBER(E61),ISNUMBER(F61),ISNUMBER('Rules'!$B$11)),'Rules'!$B$11*(E61-1)*E61/2+F61,"")</x:f>
        <x:v>4300</x:v>
      </x:c>
      <x:c r="I61" s="42" t="n">
        <x:f>IF(AND(ISNUMBER(H61),ISNUMBER(G61)),H61+G61,"")</x:f>
        <x:v>4600</x:v>
      </x:c>
      <x:c r="J61" s="42" t="n">
        <x:f>IF(ISNUMBER(I61),INT((1+SQRT(1+8*I61/'Rules'!$B$11))/2),"")</x:f>
        <x:v>10</x:v>
      </x:c>
      <x:c r="K61" s="42" t="n">
        <x:f>IF(ISNUMBER(J61),I61-'Rules'!$B$11*(J61-1)*J61/2,"")</x:f>
        <x:v>100</x:v>
      </x:c>
      <x:c r="L61" s="42" t="n">
        <x:f>IF(ISNUMBER(J61),'Rules'!$B$11*J61,"")</x:f>
        <x:v>1000</x:v>
      </x:c>
      <x:c r="M61" s="42" t="n">
        <x:f>IF(ISNUMBER(J61),J61-E61,"")</x:f>
        <x:v>1</x:v>
      </x:c>
      <x:c r="N61" s="42" t="n">
        <x:f>IF(AND(ISNUMBER(J61),ISNUMBER('Rules'!$B$8),ISNUMBER('Rules'!$B$9)),'Rules'!$B$8+'Rules'!$B$9*(J61-1),"")</x:f>
        <x:v>85</x:v>
      </x:c>
      <x:c r="O61" s="42" t="n">
        <x:v>10</x:v>
      </x:c>
      <x:c r="P61" s="42" t="n">
        <x:v>100</x:v>
      </x:c>
      <x:c r="Q61" s="42" t="n">
        <x:f>J61-O61</x:f>
        <x:v>0</x:v>
      </x:c>
      <x:c r="R61" s="42" t="n">
        <x:f>K61-P61</x:f>
        <x:v>0</x:v>
      </x:c>
      <x:c r="S61" s="20" t="str">
        <x:v>Physicallybreaksshieldingandexposesattacklanes.</x:v>
      </x:c>
    </x:row>
    <x:row r="62" ht="28" customHeight="1">
      <x:c r="A62" s="2" t="str">
        <x:v>C19E12</x:v>
      </x:c>
      <x:c r="B62" s="50" t="n">
        <x:v>19</x:v>
      </x:c>
      <x:c r="C62" s="2" t="str">
        <x:v>Owen</x:v>
      </x:c>
      <x:c r="D62" s="2" t="str">
        <x:v>Day 4 09:04:00</x:v>
      </x:c>
      <x:c r="E62" s="31" t="n">
        <x:f>J58</x:f>
        <x:v>12</x:v>
      </x:c>
      <x:c r="F62" s="31" t="n">
        <x:f>K58</x:f>
        <x:v>300</x:v>
      </x:c>
      <x:c r="G62" s="31" t="n">
        <x:v>300</x:v>
      </x:c>
      <x:c r="H62" s="31" t="n">
        <x:f>IF(AND(ISNUMBER(E62),ISNUMBER(F62),ISNUMBER('Rules'!$B$11)),'Rules'!$B$11*(E62-1)*E62/2+F62,"")</x:f>
        <x:v>6900</x:v>
      </x:c>
      <x:c r="I62" s="31" t="n">
        <x:f>IF(AND(ISNUMBER(H62),ISNUMBER(G62)),H62+G62,"")</x:f>
        <x:v>7200</x:v>
      </x:c>
      <x:c r="J62" s="31" t="n">
        <x:f>IF(ISNUMBER(I62),INT((1+SQRT(1+8*I62/'Rules'!$B$11))/2),"")</x:f>
        <x:v>12</x:v>
      </x:c>
      <x:c r="K62" s="31" t="n">
        <x:f>IF(ISNUMBER(J62),I62-'Rules'!$B$11*(J62-1)*J62/2,"")</x:f>
        <x:v>600</x:v>
      </x:c>
      <x:c r="L62" s="31" t="n">
        <x:f>IF(ISNUMBER(J62),'Rules'!$B$11*J62,"")</x:f>
        <x:v>1200</x:v>
      </x:c>
      <x:c r="M62" s="31" t="n">
        <x:f>IF(ISNUMBER(J62),J62-E62,"")</x:f>
        <x:v>0</x:v>
      </x:c>
      <x:c r="N62" s="31" t="n">
        <x:f>IF(AND(ISNUMBER(J62),ISNUMBER('Rules'!$B$8),ISNUMBER('Rules'!$B$9)),'Rules'!$B$8+'Rules'!$B$9*(J62-1),"")</x:f>
        <x:v>95</x:v>
      </x:c>
      <x:c r="O62" s="31" t="n">
        <x:v>12</x:v>
      </x:c>
      <x:c r="P62" s="31" t="n">
        <x:v>600</x:v>
      </x:c>
      <x:c r="Q62" s="31" t="n">
        <x:f>J62-O62</x:f>
        <x:v>0</x:v>
      </x:c>
      <x:c r="R62" s="31" t="n">
        <x:f>K62-P62</x:f>
        <x:v>0</x:v>
      </x:c>
      <x:c r="S62" s="19" t="str">
        <x:v>Necessaryaftercarepreservesinjuredfighter; notproximitycredit.</x:v>
      </x:c>
    </x:row>
    <x:row r="63" ht="28" customHeight="1">
      <x:c r="A63" s="17" t="str">
        <x:v>C19E12</x:v>
      </x:c>
      <x:c r="B63" s="51" t="n">
        <x:v>19</x:v>
      </x:c>
      <x:c r="C63" s="17" t="str">
        <x:v>Dane</x:v>
      </x:c>
      <x:c r="D63" s="17" t="str">
        <x:v>Day 4 09:04:00</x:v>
      </x:c>
      <x:c r="E63" s="42" t="n">
        <x:f>J59</x:f>
        <x:v>12</x:v>
      </x:c>
      <x:c r="F63" s="42" t="n">
        <x:f>K59</x:f>
        <x:v>300</x:v>
      </x:c>
      <x:c r="G63" s="42" t="n">
        <x:v>300</x:v>
      </x:c>
      <x:c r="H63" s="42" t="n">
        <x:f>IF(AND(ISNUMBER(E63),ISNUMBER(F63),ISNUMBER('Rules'!$B$11)),'Rules'!$B$11*(E63-1)*E63/2+F63,"")</x:f>
        <x:v>6900</x:v>
      </x:c>
      <x:c r="I63" s="42" t="n">
        <x:f>IF(AND(ISNUMBER(H63),ISNUMBER(G63)),H63+G63,"")</x:f>
        <x:v>7200</x:v>
      </x:c>
      <x:c r="J63" s="42" t="n">
        <x:f>IF(ISNUMBER(I63),INT((1+SQRT(1+8*I63/'Rules'!$B$11))/2),"")</x:f>
        <x:v>12</x:v>
      </x:c>
      <x:c r="K63" s="42" t="n">
        <x:f>IF(ISNUMBER(J63),I63-'Rules'!$B$11*(J63-1)*J63/2,"")</x:f>
        <x:v>600</x:v>
      </x:c>
      <x:c r="L63" s="42" t="n">
        <x:f>IF(ISNUMBER(J63),'Rules'!$B$11*J63,"")</x:f>
        <x:v>1200</x:v>
      </x:c>
      <x:c r="M63" s="42" t="n">
        <x:f>IF(ISNUMBER(J63),J63-E63,"")</x:f>
        <x:v>0</x:v>
      </x:c>
      <x:c r="N63" s="42" t="n">
        <x:f>IF(AND(ISNUMBER(J63),ISNUMBER('Rules'!$B$8),ISNUMBER('Rules'!$B$9)),'Rules'!$B$8+'Rules'!$B$9*(J63-1),"")</x:f>
        <x:v>95</x:v>
      </x:c>
      <x:c r="O63" s="42" t="n">
        <x:v>12</x:v>
      </x:c>
      <x:c r="P63" s="42" t="n">
        <x:v>600</x:v>
      </x:c>
      <x:c r="Q63" s="42" t="n">
        <x:f>J63-O63</x:f>
        <x:v>0</x:v>
      </x:c>
      <x:c r="R63" s="42" t="n">
        <x:f>K63-P63</x:f>
        <x:v>0</x:v>
      </x:c>
      <x:c r="S63" s="20" t="str">
        <x:v>Draws/blocksattacksandprotectsKipatthedecisivemoment.</x:v>
      </x:c>
    </x:row>
    <x:row r="64" ht="28" customHeight="1">
      <x:c r="A64" s="2" t="str">
        <x:v>C20E08</x:v>
      </x:c>
      <x:c r="B64" s="50" t="n">
        <x:v>20</x:v>
      </x:c>
      <x:c r="C64" s="2" t="str">
        <x:v>Kip</x:v>
      </x:c>
      <x:c r="D64" s="2" t="str">
        <x:v>Day 4 10:30:00</x:v>
      </x:c>
      <x:c r="E64" s="31" t="n">
        <x:f>J60</x:f>
        <x:v>9</x:v>
      </x:c>
      <x:c r="F64" s="31" t="n">
        <x:f>K60</x:f>
        <x:v>0</x:v>
      </x:c>
      <x:c r="G64" s="31" t="n">
        <x:v>100</x:v>
      </x:c>
      <x:c r="H64" s="31" t="n">
        <x:f>IF(AND(ISNUMBER(E64),ISNUMBER(F64),ISNUMBER('Rules'!$B$11)),'Rules'!$B$11*(E64-1)*E64/2+F64,"")</x:f>
        <x:v>3600</x:v>
      </x:c>
      <x:c r="I64" s="31" t="n">
        <x:f>IF(AND(ISNUMBER(H64),ISNUMBER(G64)),H64+G64,"")</x:f>
        <x:v>3700</x:v>
      </x:c>
      <x:c r="J64" s="31" t="n">
        <x:f>IF(ISNUMBER(I64),INT((1+SQRT(1+8*I64/'Rules'!$B$11))/2),"")</x:f>
        <x:v>9</x:v>
      </x:c>
      <x:c r="K64" s="31" t="n">
        <x:f>IF(ISNUMBER(J64),I64-'Rules'!$B$11*(J64-1)*J64/2,"")</x:f>
        <x:v>100</x:v>
      </x:c>
      <x:c r="L64" s="31" t="n">
        <x:f>IF(ISNUMBER(J64),'Rules'!$B$11*J64,"")</x:f>
        <x:v>900</x:v>
      </x:c>
      <x:c r="M64" s="31" t="n">
        <x:f>IF(ISNUMBER(J64),J64-E64,"")</x:f>
        <x:v>0</x:v>
      </x:c>
      <x:c r="N64" s="31" t="n">
        <x:f>IF(AND(ISNUMBER(J64),ISNUMBER('Rules'!$B$8),ISNUMBER('Rules'!$B$9)),'Rules'!$B$8+'Rules'!$B$9*(J64-1),"")</x:f>
        <x:v>80</x:v>
      </x:c>
      <x:c r="O64" s="31" t="n">
        <x:v>9</x:v>
      </x:c>
      <x:c r="P64" s="31" t="n">
        <x:v>100</x:v>
      </x:c>
      <x:c r="Q64" s="31" t="n">
        <x:f>J64-O64</x:f>
        <x:v>0</x:v>
      </x:c>
      <x:c r="R64" s="31" t="n">
        <x:f>K64-P64</x:f>
        <x:v>0</x:v>
      </x:c>
      <x:c r="S64" s="19" t="str">
        <x:v>Releasesbrakeandhelpscarrypatientout.</x:v>
      </x:c>
    </x:row>
    <x:row r="65" ht="28" customHeight="1">
      <x:c r="A65" s="17" t="str">
        <x:v>C20E08</x:v>
      </x:c>
      <x:c r="B65" s="51" t="n">
        <x:v>20</x:v>
      </x:c>
      <x:c r="C65" s="17" t="str">
        <x:v>Tessa</x:v>
      </x:c>
      <x:c r="D65" s="17" t="str">
        <x:v>Day 4 10:30:00</x:v>
      </x:c>
      <x:c r="E65" s="42" t="n">
        <x:f>J61</x:f>
        <x:v>10</x:v>
      </x:c>
      <x:c r="F65" s="42" t="n">
        <x:f>K61</x:f>
        <x:v>100</x:v>
      </x:c>
      <x:c r="G65" s="42" t="n">
        <x:v>100</x:v>
      </x:c>
      <x:c r="H65" s="42" t="n">
        <x:f>IF(AND(ISNUMBER(E65),ISNUMBER(F65),ISNUMBER('Rules'!$B$11)),'Rules'!$B$11*(E65-1)*E65/2+F65,"")</x:f>
        <x:v>4600</x:v>
      </x:c>
      <x:c r="I65" s="42" t="n">
        <x:f>IF(AND(ISNUMBER(H65),ISNUMBER(G65)),H65+G65,"")</x:f>
        <x:v>4700</x:v>
      </x:c>
      <x:c r="J65" s="42" t="n">
        <x:f>IF(ISNUMBER(I65),INT((1+SQRT(1+8*I65/'Rules'!$B$11))/2),"")</x:f>
        <x:v>10</x:v>
      </x:c>
      <x:c r="K65" s="42" t="n">
        <x:f>IF(ISNUMBER(J65),I65-'Rules'!$B$11*(J65-1)*J65/2,"")</x:f>
        <x:v>200</x:v>
      </x:c>
      <x:c r="L65" s="42" t="n">
        <x:f>IF(ISNUMBER(J65),'Rules'!$B$11*J65,"")</x:f>
        <x:v>1000</x:v>
      </x:c>
      <x:c r="M65" s="42" t="n">
        <x:f>IF(ISNUMBER(J65),J65-E65,"")</x:f>
        <x:v>0</x:v>
      </x:c>
      <x:c r="N65" s="42" t="n">
        <x:f>IF(AND(ISNUMBER(J65),ISNUMBER('Rules'!$B$8),ISNUMBER('Rules'!$B$9)),'Rules'!$B$8+'Rules'!$B$9*(J65-1),"")</x:f>
        <x:v>85</x:v>
      </x:c>
      <x:c r="O65" s="42" t="n">
        <x:v>10</x:v>
      </x:c>
      <x:c r="P65" s="42" t="n">
        <x:v>200</x:v>
      </x:c>
      <x:c r="Q65" s="42" t="n">
        <x:f>J65-O65</x:f>
        <x:v>0</x:v>
      </x:c>
      <x:c r="R65" s="42" t="n">
        <x:f>K65-P65</x:f>
        <x:v>0</x:v>
      </x:c>
      <x:c r="S65" s="20" t="str">
        <x:v>Findsactualexitrouteandbreaksphysicalrune.</x:v>
      </x:c>
    </x:row>
    <x:row r="66" ht="36" customHeight="1">
      <x:c r="A66" s="2" t="str">
        <x:v>C20E08</x:v>
      </x:c>
      <x:c r="B66" s="50" t="n">
        <x:v>20</x:v>
      </x:c>
      <x:c r="C66" s="2" t="str">
        <x:v>Owen</x:v>
      </x:c>
      <x:c r="D66" s="2" t="str">
        <x:v>Day 4 10:30:00</x:v>
      </x:c>
      <x:c r="E66" s="31" t="n">
        <x:f>J62</x:f>
        <x:v>12</x:v>
      </x:c>
      <x:c r="F66" s="31" t="n">
        <x:f>K62</x:f>
        <x:v>600</x:v>
      </x:c>
      <x:c r="G66" s="31" t="n">
        <x:v>100</x:v>
      </x:c>
      <x:c r="H66" s="31" t="n">
        <x:f>IF(AND(ISNUMBER(E66),ISNUMBER(F66),ISNUMBER('Rules'!$B$11)),'Rules'!$B$11*(E66-1)*E66/2+F66,"")</x:f>
        <x:v>7200</x:v>
      </x:c>
      <x:c r="I66" s="31" t="n">
        <x:f>IF(AND(ISNUMBER(H66),ISNUMBER(G66)),H66+G66,"")</x:f>
        <x:v>7300</x:v>
      </x:c>
      <x:c r="J66" s="31" t="n">
        <x:f>IF(ISNUMBER(I66),INT((1+SQRT(1+8*I66/'Rules'!$B$11))/2),"")</x:f>
        <x:v>12</x:v>
      </x:c>
      <x:c r="K66" s="31" t="n">
        <x:f>IF(ISNUMBER(J66),I66-'Rules'!$B$11*(J66-1)*J66/2,"")</x:f>
        <x:v>700</x:v>
      </x:c>
      <x:c r="L66" s="31" t="n">
        <x:f>IF(ISNUMBER(J66),'Rules'!$B$11*J66,"")</x:f>
        <x:v>1200</x:v>
      </x:c>
      <x:c r="M66" s="31" t="n">
        <x:f>IF(ISNUMBER(J66),J66-E66,"")</x:f>
        <x:v>0</x:v>
      </x:c>
      <x:c r="N66" s="31" t="n">
        <x:f>IF(AND(ISNUMBER(J66),ISNUMBER('Rules'!$B$8),ISNUMBER('Rules'!$B$9)),'Rules'!$B$8+'Rules'!$B$9*(J66-1),"")</x:f>
        <x:v>95</x:v>
      </x:c>
      <x:c r="O66" s="31" t="n">
        <x:v>12</x:v>
      </x:c>
      <x:c r="P66" s="31" t="n">
        <x:v>700</x:v>
      </x:c>
      <x:c r="Q66" s="31" t="n">
        <x:f>J66-O66</x:f>
        <x:v>0</x:v>
      </x:c>
      <x:c r="R66" s="31" t="n">
        <x:f>K66-P66</x:f>
        <x:v>0</x:v>
      </x:c>
      <x:c r="S66" s="19" t="str">
        <x:v>Directs safe litter crossing and physically carries Jory through the dangerous gate threshold into open air.</x:v>
      </x:c>
    </x:row>
    <x:row r="67" ht="28" customHeight="1">
      <x:c r="A67" s="18" t="str">
        <x:v>C20E08</x:v>
      </x:c>
      <x:c r="B67" s="52" t="n">
        <x:v>20</x:v>
      </x:c>
      <x:c r="C67" s="18" t="str">
        <x:v>Dane</x:v>
      </x:c>
      <x:c r="D67" s="18" t="str">
        <x:v>Day 4 10:30:00</x:v>
      </x:c>
      <x:c r="E67" s="43" t="n">
        <x:f>J63</x:f>
        <x:v>12</x:v>
      </x:c>
      <x:c r="F67" s="43" t="n">
        <x:f>K63</x:f>
        <x:v>600</x:v>
      </x:c>
      <x:c r="G67" s="43" t="n">
        <x:v>100</x:v>
      </x:c>
      <x:c r="H67" s="43" t="n">
        <x:f>IF(AND(ISNUMBER(E67),ISNUMBER(F67),ISNUMBER('Rules'!$B$11)),'Rules'!$B$11*(E67-1)*E67/2+F67,"")</x:f>
        <x:v>7200</x:v>
      </x:c>
      <x:c r="I67" s="43" t="n">
        <x:f>IF(AND(ISNUMBER(H67),ISNUMBER(G67)),H67+G67,"")</x:f>
        <x:v>7300</x:v>
      </x:c>
      <x:c r="J67" s="43" t="n">
        <x:f>IF(ISNUMBER(I67),INT((1+SQRT(1+8*I67/'Rules'!$B$11))/2),"")</x:f>
        <x:v>12</x:v>
      </x:c>
      <x:c r="K67" s="43" t="n">
        <x:f>IF(ISNUMBER(J67),I67-'Rules'!$B$11*(J67-1)*J67/2,"")</x:f>
        <x:v>700</x:v>
      </x:c>
      <x:c r="L67" s="43" t="n">
        <x:f>IF(ISNUMBER(J67),'Rules'!$B$11*J67,"")</x:f>
        <x:v>1200</x:v>
      </x:c>
      <x:c r="M67" s="43" t="n">
        <x:f>IF(ISNUMBER(J67),J67-E67,"")</x:f>
        <x:v>0</x:v>
      </x:c>
      <x:c r="N67" s="43" t="n">
        <x:f>IF(AND(ISNUMBER(J67),ISNUMBER('Rules'!$B$8),ISNUMBER('Rules'!$B$9)),'Rules'!$B$8+'Rules'!$B$9*(J67-1),"")</x:f>
        <x:v>95</x:v>
      </x:c>
      <x:c r="O67" s="43" t="n">
        <x:v>12</x:v>
      </x:c>
      <x:c r="P67" s="43" t="n">
        <x:v>700</x:v>
      </x:c>
      <x:c r="Q67" s="43" t="n">
        <x:f>J67-O67</x:f>
        <x:v>0</x:v>
      </x:c>
      <x:c r="R67" s="43" t="n">
        <x:f>K67-P67</x:f>
        <x:v>0</x:v>
      </x:c>
      <x:c r="S67" s="21" t="str">
        <x:v>Protectsgateloadworkandlastworkerscrossing.</x:v>
      </x:c>
    </x:row>
    <x:row r="68" ht="22" customHeight="1">
      <x:c r="A68" s="2"/>
      <x:c r="B68" s="2"/>
      <x:c r="C68" s="2"/>
      <x:c r="D68" s="2"/>
      <x:c r="E68" s="2"/>
      <x:c r="F68" s="2"/>
      <x:c r="G68" s="2"/>
      <x:c r="H68" s="2"/>
      <x:c r="I68" s="2"/>
      <x:c r="J68" s="2"/>
      <x:c r="K68" s="2"/>
      <x:c r="L68" s="2"/>
      <x:c r="M68" s="2"/>
      <x:c r="N68" s="2"/>
      <x:c r="O68" s="2"/>
      <x:c r="P68" s="2"/>
      <x:c r="Q68" s="2"/>
      <x:c r="R68" s="2"/>
      <x:c r="S68" s="2"/>
    </x:row>
  </x:sheetData>
  <x:conditionalFormatting sqref="Q8:R67">
    <x:cfRule type="cellIs" dxfId="0" priority="1" operator="notEqual">
      <x:formula>0</x:formula>
    </x:cfRule>
  </x:conditionalFormatting>
  <x:pageMargins left="0.7" right="0.7" top="0.75" bottom="0.75" header="0.3" footer="0.3"/>
  <x:tableParts count="1">
    <x:tablePart xmlns:r="http://schemas.openxmlformats.org/officeDocument/2006/relationships" r:id="R6772d95ed54b4170"/>
  </x:tableParts>
</x:worksheet>
</file>

<file path=xl/worksheets/sheet4.xml><?xml version="1.0" encoding="utf-8"?>
<x:worksheet xmlns:x="http://schemas.openxmlformats.org/spreadsheetml/2006/main">
  <x:sheetPr>
    <x:tabColor rgb="FF493D69"/>
  </x:sheetPr>
  <x:sheetViews>
    <x:sheetView showGridLines="0" workbookViewId="0">
      <x:pane xSplit="2" ySplit="7" topLeftCell="C8" activePane="bottomRight" state="frozen"/>
    </x:sheetView>
  </x:sheetViews>
  <x:sheetFormatPr defaultRowHeight="15"/>
  <x:cols>
    <x:col min="1" max="1" width="12" hidden="0" customWidth="1"/>
    <x:col min="2" max="2" width="6" hidden="0" customWidth="1"/>
    <x:col min="3" max="3" width="24" hidden="0" customWidth="1"/>
    <x:col min="4" max="4" width="35" hidden="0" customWidth="1"/>
    <x:col min="5" max="5" width="95" hidden="0" customWidth="1"/>
    <x:col min="6" max="6" width="24" hidden="0" customWidth="1"/>
  </x:cols>
  <x:sheetData>
    <x:row r="1" ht="10" customHeight="1">
      <x:c r="A1" s="2"/>
      <x:c r="B1" s="2"/>
      <x:c r="C1" s="2"/>
      <x:c r="D1" s="2"/>
      <x:c r="E1" s="2"/>
      <x:c r="F1" s="2"/>
    </x:row>
    <x:row r="2" ht="22" customHeight="1">
      <x:c r="A2" s="3" t="str">
        <x:v>Story carryover</x:v>
      </x:c>
      <x:c r="B2" s="2"/>
      <x:c r="C2" s="2"/>
      <x:c r="D2" s="2"/>
      <x:c r="E2" s="2"/>
      <x:c r="F2" s="2"/>
    </x:row>
    <x:row r="3" ht="22" customHeight="1">
      <x:c r="A3" s="4"/>
      <x:c r="B3" s="4"/>
      <x:c r="C3" s="4"/>
      <x:c r="D3" s="4"/>
      <x:c r="E3" s="4"/>
      <x:c r="F3" s="4"/>
    </x:row>
    <x:row r="4" ht="22" customHeight="1">
      <x:c r="A4" s="2" t="str">
        <x:v>Planning facts, injuries, custody, practice, limits, and review duties.</x:v>
      </x:c>
      <x:c r="B4" s="2"/>
      <x:c r="C4" s="2"/>
      <x:c r="D4" s="2"/>
      <x:c r="E4" s="2"/>
      <x:c r="F4" s="2"/>
    </x:row>
    <x:row r="5" ht="22" customHeight="1">
      <x:c r="A5" s="5" t="str">
        <x:v>No fact in this table is manuscript confirmation. Preserve knowledge boundaries when drafting.</x:v>
      </x:c>
      <x:c r="B5" s="2"/>
      <x:c r="C5" s="2"/>
      <x:c r="D5" s="2"/>
      <x:c r="E5" s="2"/>
      <x:c r="F5" s="2"/>
    </x:row>
    <x:row r="6" ht="22" customHeight="1">
      <x:c r="A6" s="2"/>
      <x:c r="B6" s="2"/>
      <x:c r="C6" s="2"/>
      <x:c r="D6" s="2"/>
      <x:c r="E6" s="2"/>
      <x:c r="F6" s="2"/>
    </x:row>
    <x:row r="7" ht="34" customHeight="1">
      <x:c r="A7" s="14" t="str">
        <x:v>Record ID</x:v>
      </x:c>
      <x:c r="B7" s="15" t="str">
        <x:v>Ch</x:v>
      </x:c>
      <x:c r="C7" s="15" t="str">
        <x:v>Topic</x:v>
      </x:c>
      <x:c r="D7" s="15" t="str">
        <x:v>Subject</x:v>
      </x:c>
      <x:c r="E7" s="15" t="str">
        <x:v>Continuity fact</x:v>
      </x:c>
      <x:c r="F7" s="16" t="str">
        <x:v>Status</x:v>
      </x:c>
    </x:row>
    <x:row r="8" ht="28" customHeight="1">
      <x:c r="A8" s="2" t="str">
        <x:v>F001</x:v>
      </x:c>
      <x:c r="B8" s="50"/>
      <x:c r="C8" s="2" t="str">
        <x:v>Opening inventory</x:v>
      </x:c>
      <x:c r="D8" s="19" t="str">
        <x:v>Kip</x:v>
      </x:c>
      <x:c r="E8" s="19" t="str">
        <x:v>Work jacket</x:v>
      </x:c>
      <x:c r="F8" s="19" t="str">
        <x:v>Planned</x:v>
      </x:c>
    </x:row>
    <x:row r="9" ht="28" customHeight="1">
      <x:c r="A9" s="17" t="str">
        <x:v>F002</x:v>
      </x:c>
      <x:c r="B9" s="51"/>
      <x:c r="C9" s="17" t="str">
        <x:v>Opening inventory</x:v>
      </x:c>
      <x:c r="D9" s="20" t="str">
        <x:v>Kip</x:v>
      </x:c>
      <x:c r="E9" s="20" t="str">
        <x:v>T-shirt</x:v>
      </x:c>
      <x:c r="F9" s="20" t="str">
        <x:v>Planned</x:v>
      </x:c>
    </x:row>
    <x:row r="10" ht="28" customHeight="1">
      <x:c r="A10" s="2" t="str">
        <x:v>F003</x:v>
      </x:c>
      <x:c r="B10" s="50"/>
      <x:c r="C10" s="2" t="str">
        <x:v>Opening inventory</x:v>
      </x:c>
      <x:c r="D10" s="19" t="str">
        <x:v>Kip</x:v>
      </x:c>
      <x:c r="E10" s="19" t="str">
        <x:v>Trousers</x:v>
      </x:c>
      <x:c r="F10" s="19" t="str">
        <x:v>Planned</x:v>
      </x:c>
    </x:row>
    <x:row r="11" ht="28" customHeight="1">
      <x:c r="A11" s="17" t="str">
        <x:v>F004</x:v>
      </x:c>
      <x:c r="B11" s="51"/>
      <x:c r="C11" s="17" t="str">
        <x:v>Opening inventory</x:v>
      </x:c>
      <x:c r="D11" s="20" t="str">
        <x:v>Kip</x:v>
      </x:c>
      <x:c r="E11" s="20" t="str">
        <x:v>Trainers</x:v>
      </x:c>
      <x:c r="F11" s="20" t="str">
        <x:v>Planned</x:v>
      </x:c>
    </x:row>
    <x:row r="12" ht="28" customHeight="1">
      <x:c r="A12" s="2" t="str">
        <x:v>F005</x:v>
      </x:c>
      <x:c r="B12" s="50"/>
      <x:c r="C12" s="2" t="str">
        <x:v>Opening inventory</x:v>
      </x:c>
      <x:c r="D12" s="19" t="str">
        <x:v>Kip</x:v>
      </x:c>
      <x:c r="E12" s="19" t="str">
        <x:v>House keys</x:v>
      </x:c>
      <x:c r="F12" s="19" t="str">
        <x:v>Planned</x:v>
      </x:c>
    </x:row>
    <x:row r="13" ht="28" customHeight="1">
      <x:c r="A13" s="17" t="str">
        <x:v>F006</x:v>
      </x:c>
      <x:c r="B13" s="51"/>
      <x:c r="C13" s="17" t="str">
        <x:v>Opening inventory</x:v>
      </x:c>
      <x:c r="D13" s="20" t="str">
        <x:v>Kip</x:v>
      </x:c>
      <x:c r="E13" s="20" t="str">
        <x:v>Wallet</x:v>
      </x:c>
      <x:c r="F13" s="20" t="str">
        <x:v>Planned</x:v>
      </x:c>
    </x:row>
    <x:row r="14" ht="28" customHeight="1">
      <x:c r="A14" s="2" t="str">
        <x:v>F007</x:v>
      </x:c>
      <x:c r="B14" s="50"/>
      <x:c r="C14" s="2" t="str">
        <x:v>Opening inventory</x:v>
      </x:c>
      <x:c r="D14" s="19" t="str">
        <x:v>Earth_only</x:v>
      </x:c>
      <x:c r="E14" s="19" t="str">
        <x:v>Phone left charging in delivery van</x:v>
      </x:c>
      <x:c r="F14" s="19" t="str">
        <x:v>Planned</x:v>
      </x:c>
    </x:row>
    <x:row r="15" ht="28" customHeight="1">
      <x:c r="A15" s="17" t="str">
        <x:v>F008</x:v>
      </x:c>
      <x:c r="B15" s="51"/>
      <x:c r="C15" s="17" t="str">
        <x:v>Opening inventory</x:v>
      </x:c>
      <x:c r="D15" s="20" t="str">
        <x:v>Earth_only</x:v>
      </x:c>
      <x:c r="E15" s="20" t="str">
        <x:v>Delivery package outside crossing</x:v>
      </x:c>
      <x:c r="F15" s="20" t="str">
        <x:v>Planned</x:v>
      </x:c>
    </x:row>
    <x:row r="16" ht="32" customHeight="1">
      <x:c r="A16" s="2" t="str">
        <x:v>F009</x:v>
      </x:c>
      <x:c r="B16" s="50"/>
      <x:c r="C16" s="2" t="str">
        <x:v>Opening inventory</x:v>
      </x:c>
      <x:c r="D16" s="19" t="str">
        <x:v>limits</x:v>
      </x:c>
      <x:c r="E16" s="19" t="str">
        <x:v>No initial weapon, enchanted inventory or phone. Track any later finite ordinary loan. Source recording is Earth curb/van/location, never Noah.</x:v>
      </x:c>
      <x:c r="F16" s="19" t="str">
        <x:v>Planned</x:v>
      </x:c>
    </x:row>
    <x:row r="17" ht="28" customHeight="1">
      <x:c r="A17" s="17" t="str">
        <x:v>F010</x:v>
      </x:c>
      <x:c r="B17" s="51"/>
      <x:c r="C17" s="17" t="str">
        <x:v>Sleep</x:v>
      </x:c>
      <x:c r="D17" s="20" t="str">
        <x:v>Kip</x:v>
      </x:c>
      <x:c r="E17" s="20" t="str">
        <x:v>Day1 22:00–Day2 05:30</x:v>
      </x:c>
      <x:c r="F17" s="20" t="str">
        <x:v>Planned</x:v>
      </x:c>
    </x:row>
    <x:row r="18" ht="28" customHeight="1">
      <x:c r="A18" s="2" t="str">
        <x:v>F011</x:v>
      </x:c>
      <x:c r="B18" s="50"/>
      <x:c r="C18" s="2" t="str">
        <x:v>Sleep</x:v>
      </x:c>
      <x:c r="D18" s="19" t="str">
        <x:v>Kip</x:v>
      </x:c>
      <x:c r="E18" s="19" t="str">
        <x:v>Day2 23:00–Day3 06:30</x:v>
      </x:c>
      <x:c r="F18" s="19" t="str">
        <x:v>Planned</x:v>
      </x:c>
    </x:row>
    <x:row r="19" ht="28" customHeight="1">
      <x:c r="A19" s="17" t="str">
        <x:v>F012</x:v>
      </x:c>
      <x:c r="B19" s="51"/>
      <x:c r="C19" s="17" t="str">
        <x:v>Sleep</x:v>
      </x:c>
      <x:c r="D19" s="20" t="str">
        <x:v>Kip</x:v>
      </x:c>
      <x:c r="E19" s="20" t="str">
        <x:v>Day3 22:00–Day4 05:30</x:v>
      </x:c>
      <x:c r="F19" s="20" t="str">
        <x:v>Planned</x:v>
      </x:c>
    </x:row>
    <x:row r="20" ht="48" customHeight="1">
      <x:c r="A20" s="2" t="str">
        <x:v>F013</x:v>
      </x:c>
      <x:c r="B20" s="50"/>
      <x:c r="C20" s="2" t="str">
        <x:v>Sleep</x:v>
      </x:c>
      <x:c r="D20" s="19" t="str">
        <x:v>companions</x:v>
      </x:c>
      <x:c r="E20" s="19" t="str">
        <x:v>Protected sleep rotates with Lena/Ben and later Eda/Cal after their injuries are treated. Companions need at least6hours overnight plus90minutes of separate afternoon/evening sleep opportunity. Never describe everyone sleeping while no one watches.</x:v>
      </x:c>
      <x:c r="F20" s="19" t="str">
        <x:v>Planned</x:v>
      </x:c>
    </x:row>
    <x:row r="21" ht="28" customHeight="1">
      <x:c r="A21" s="17" t="str">
        <x:v>F014</x:v>
      </x:c>
      <x:c r="B21" s="51"/>
      <x:c r="C21" s="17" t="str">
        <x:v>Sleep</x:v>
      </x:c>
      <x:c r="D21" s="20" t="str">
        <x:v>scope</x:v>
      </x:c>
      <x:c r="E21" s="20" t="str">
        <x:v>Future time allowances, not prose-established scenes or proof that rest was safe.</x:v>
      </x:c>
      <x:c r="F21" s="20" t="str">
        <x:v>Planned</x:v>
      </x:c>
    </x:row>
    <x:row r="22" ht="28" customHeight="1">
      <x:c r="A22" s="2" t="str">
        <x:v>F015</x:v>
      </x:c>
      <x:c r="B22" s="50"/>
      <x:c r="C22" s="2" t="str">
        <x:v>Roster</x:v>
      </x:c>
      <x:c r="D22" s="19" t="str">
        <x:v>arrival</x:v>
      </x:c>
      <x:c r="E22" s="60" t="n">
        <x:v>5</x:v>
      </x:c>
      <x:c r="F22" s="19" t="str">
        <x:v>Planned</x:v>
      </x:c>
    </x:row>
    <x:row r="23" ht="28" customHeight="1">
      <x:c r="A23" s="17" t="str">
        <x:v>F016</x:v>
      </x:c>
      <x:c r="B23" s="51"/>
      <x:c r="C23" s="17" t="str">
        <x:v>Roster</x:v>
      </x:c>
      <x:c r="D23" s="20" t="str">
        <x:v>after_ch5</x:v>
      </x:c>
      <x:c r="E23" s="61" t="n">
        <x:v>7</x:v>
      </x:c>
      <x:c r="F23" s="20" t="str">
        <x:v>Planned</x:v>
      </x:c>
    </x:row>
    <x:row r="24" ht="28" customHeight="1">
      <x:c r="A24" s="2" t="str">
        <x:v>F017</x:v>
      </x:c>
      <x:c r="B24" s="50"/>
      <x:c r="C24" s="2" t="str">
        <x:v>Roster</x:v>
      </x:c>
      <x:c r="D24" s="19" t="str">
        <x:v>after_ch12</x:v>
      </x:c>
      <x:c r="E24" s="60" t="n">
        <x:v>7</x:v>
      </x:c>
      <x:c r="F24" s="19" t="str">
        <x:v>Planned</x:v>
      </x:c>
    </x:row>
    <x:row r="25" ht="28" customHeight="1">
      <x:c r="A25" s="17" t="str">
        <x:v>F018</x:v>
      </x:c>
      <x:c r="B25" s="51"/>
      <x:c r="C25" s="17" t="str">
        <x:v>Roster</x:v>
      </x:c>
      <x:c r="D25" s="20" t="str">
        <x:v>after_ch14</x:v>
      </x:c>
      <x:c r="E25" s="61" t="n">
        <x:v>9</x:v>
      </x:c>
      <x:c r="F25" s="20" t="str">
        <x:v>Planned</x:v>
      </x:c>
    </x:row>
    <x:row r="26" ht="28" customHeight="1">
      <x:c r="A26" s="2" t="str">
        <x:v>F019</x:v>
      </x:c>
      <x:c r="B26" s="50"/>
      <x:c r="C26" s="2" t="str">
        <x:v>Roster</x:v>
      </x:c>
      <x:c r="D26" s="19" t="str">
        <x:v>escaped_ch20</x:v>
      </x:c>
      <x:c r="E26" s="60" t="n">
        <x:v>9</x:v>
      </x:c>
      <x:c r="F26" s="19" t="str">
        <x:v>Planned</x:v>
      </x:c>
    </x:row>
    <x:row r="27" ht="28" customHeight="1">
      <x:c r="A27" s="17" t="str">
        <x:v>F020</x:v>
      </x:c>
      <x:c r="B27" s="51"/>
      <x:c r="C27" s="17" t="str">
        <x:v>Roster</x:v>
      </x:c>
      <x:c r="D27" s="20" t="str">
        <x:v>identities</x:v>
      </x:c>
      <x:c r="E27" s="20" t="str">
        <x:v>Kip Quillman</x:v>
      </x:c>
      <x:c r="F27" s="20" t="str">
        <x:v>Planned</x:v>
      </x:c>
    </x:row>
    <x:row r="28" ht="28" customHeight="1">
      <x:c r="A28" s="2" t="str">
        <x:v>F021</x:v>
      </x:c>
      <x:c r="B28" s="50"/>
      <x:c r="C28" s="2" t="str">
        <x:v>Roster</x:v>
      </x:c>
      <x:c r="D28" s="19" t="str">
        <x:v>identities</x:v>
      </x:c>
      <x:c r="E28" s="19" t="str">
        <x:v>Tessa Ward</x:v>
      </x:c>
      <x:c r="F28" s="19" t="str">
        <x:v>Planned</x:v>
      </x:c>
    </x:row>
    <x:row r="29" ht="28" customHeight="1">
      <x:c r="A29" s="17" t="str">
        <x:v>F022</x:v>
      </x:c>
      <x:c r="B29" s="51"/>
      <x:c r="C29" s="17" t="str">
        <x:v>Roster</x:v>
      </x:c>
      <x:c r="D29" s="20" t="str">
        <x:v>identities</x:v>
      </x:c>
      <x:c r="E29" s="20" t="str">
        <x:v>Owen Pike</x:v>
      </x:c>
      <x:c r="F29" s="20" t="str">
        <x:v>Planned</x:v>
      </x:c>
    </x:row>
    <x:row r="30" ht="28" customHeight="1">
      <x:c r="A30" s="2" t="str">
        <x:v>F023</x:v>
      </x:c>
      <x:c r="B30" s="50"/>
      <x:c r="C30" s="2" t="str">
        <x:v>Roster</x:v>
      </x:c>
      <x:c r="D30" s="19" t="str">
        <x:v>identities</x:v>
      </x:c>
      <x:c r="E30" s="19" t="str">
        <x:v>Dane Mercer</x:v>
      </x:c>
      <x:c r="F30" s="19" t="str">
        <x:v>Planned</x:v>
      </x:c>
    </x:row>
    <x:row r="31" ht="28" customHeight="1">
      <x:c r="A31" s="17" t="str">
        <x:v>F024</x:v>
      </x:c>
      <x:c r="B31" s="51"/>
      <x:c r="C31" s="17" t="str">
        <x:v>Roster</x:v>
      </x:c>
      <x:c r="D31" s="20" t="str">
        <x:v>identities</x:v>
      </x:c>
      <x:c r="E31" s="20" t="str">
        <x:v>Jory Hale</x:v>
      </x:c>
      <x:c r="F31" s="20" t="str">
        <x:v>Planned</x:v>
      </x:c>
    </x:row>
    <x:row r="32" ht="28" customHeight="1">
      <x:c r="A32" s="2" t="str">
        <x:v>F025</x:v>
      </x:c>
      <x:c r="B32" s="50"/>
      <x:c r="C32" s="2" t="str">
        <x:v>Roster</x:v>
      </x:c>
      <x:c r="D32" s="19" t="str">
        <x:v>identities</x:v>
      </x:c>
      <x:c r="E32" s="19" t="str">
        <x:v>Lena Moss: rope-hauler rescued in5</x:v>
      </x:c>
      <x:c r="F32" s="19" t="str">
        <x:v>Planned</x:v>
      </x:c>
    </x:row>
    <x:row r="33" ht="28" customHeight="1">
      <x:c r="A33" s="17" t="str">
        <x:v>F026</x:v>
      </x:c>
      <x:c r="B33" s="51"/>
      <x:c r="C33" s="17" t="str">
        <x:v>Roster</x:v>
      </x:c>
      <x:c r="D33" s="20" t="str">
        <x:v>identities</x:v>
      </x:c>
      <x:c r="E33" s="20" t="str">
        <x:v>Ben Holt: fungal-picker rescued in5</x:v>
      </x:c>
      <x:c r="F33" s="20" t="str">
        <x:v>Planned</x:v>
      </x:c>
    </x:row>
    <x:row r="34" ht="28" customHeight="1">
      <x:c r="A34" s="2" t="str">
        <x:v>F027</x:v>
      </x:c>
      <x:c r="B34" s="50"/>
      <x:c r="C34" s="2" t="str">
        <x:v>Roster</x:v>
      </x:c>
      <x:c r="D34" s="19" t="str">
        <x:v>identities</x:v>
      </x:c>
      <x:c r="E34" s="19" t="str">
        <x:v>Eda Flint: salt-cutter seen12, rescued14</x:v>
      </x:c>
      <x:c r="F34" s="19" t="str">
        <x:v>Planned</x:v>
      </x:c>
    </x:row>
    <x:row r="35" ht="28" customHeight="1">
      <x:c r="A35" s="17" t="str">
        <x:v>F028</x:v>
      </x:c>
      <x:c r="B35" s="51"/>
      <x:c r="C35" s="17" t="str">
        <x:v>Roster</x:v>
      </x:c>
      <x:c r="D35" s="20" t="str">
        <x:v>identities</x:v>
      </x:c>
      <x:c r="E35" s="20" t="str">
        <x:v>Cal Reed: adult furnace apprentice seen12, rescued14</x:v>
      </x:c>
      <x:c r="F35" s="20" t="str">
        <x:v>Planned</x:v>
      </x:c>
    </x:row>
    <x:row r="36" ht="28" customHeight="1">
      <x:c r="A36" s="2" t="str">
        <x:v>F029</x:v>
      </x:c>
      <x:c r="B36" s="50"/>
      <x:c r="C36" s="2" t="str">
        <x:v>Roster</x:v>
      </x:c>
      <x:c r="D36" s="19" t="str">
        <x:v>status</x:v>
      </x:c>
      <x:c r="E36" s="19" t="str">
        <x:v>Nine-person roster adopted by root in planning; no unlisted casualties.</x:v>
      </x:c>
      <x:c r="F36" s="19" t="str">
        <x:v>Planned</x:v>
      </x:c>
    </x:row>
    <x:row r="37" ht="32" customHeight="1">
      <x:c r="A37" s="17" t="str">
        <x:v>F030</x:v>
      </x:c>
      <x:c r="B37" s="51"/>
      <x:c r="C37" s="17" t="str">
        <x:v>Roster</x:v>
      </x:c>
      <x:c r="D37" s="20" t="str">
        <x:v>unquantified_system_credit</x:v>
      </x:c>
      <x:c r="E37" s="20" t="str">
        <x:v>Jory and workers who materially contribute also qualify if awakened; their class/level are undefined. Do not invent statistics or deny them credit because noncombatants.</x:v>
      </x:c>
      <x:c r="F37" s="20" t="str">
        <x:v>Planned</x:v>
      </x:c>
    </x:row>
    <x:row r="38" ht="28" customHeight="1">
      <x:c r="A38" s="2" t="str">
        <x:v>F031</x:v>
      </x:c>
      <x:c r="B38" s="50"/>
      <x:c r="C38" s="2" t="str">
        <x:v>Skill acquisition</x:v>
      </x:c>
      <x:c r="D38" s="19" t="str">
        <x:v>Sovereign Ward.skill</x:v>
      </x:c>
      <x:c r="E38" s="19" t="str">
        <x:v>Sovereign Ward</x:v>
      </x:c>
      <x:c r="F38" s="19" t="str">
        <x:v>Planned</x:v>
      </x:c>
    </x:row>
    <x:row r="39" ht="28" customHeight="1">
      <x:c r="A39" s="17" t="str">
        <x:v>F032</x:v>
      </x:c>
      <x:c r="B39" s="51"/>
      <x:c r="C39" s="17" t="str">
        <x:v>Skill acquisition</x:v>
      </x:c>
      <x:c r="D39" s="20" t="str">
        <x:v>Sovereign Ward.rank</x:v>
      </x:c>
      <x:c r="E39" s="61" t="n">
        <x:v>1</x:v>
      </x:c>
      <x:c r="F39" s="20" t="str">
        <x:v>Planned</x:v>
      </x:c>
    </x:row>
    <x:row r="40" ht="28" customHeight="1">
      <x:c r="A40" s="2" t="str">
        <x:v>F033</x:v>
      </x:c>
      <x:c r="B40" s="50"/>
      <x:c r="C40" s="2" t="str">
        <x:v>Skill acquisition</x:v>
      </x:c>
      <x:c r="D40" s="19" t="str">
        <x:v>Sovereign Ward.at</x:v>
      </x:c>
      <x:c r="E40" s="19" t="str">
        <x:v>Day 1 08:06:40</x:v>
      </x:c>
      <x:c r="F40" s="19" t="str">
        <x:v>Planned</x:v>
      </x:c>
    </x:row>
    <x:row r="41" ht="28" customHeight="1">
      <x:c r="A41" s="17" t="str">
        <x:v>F034</x:v>
      </x:c>
      <x:c r="B41" s="51"/>
      <x:c r="C41" s="17" t="str">
        <x:v>Skill acquisition</x:v>
      </x:c>
      <x:c r="D41" s="20" t="str">
        <x:v>Sovereign Ward.reason</x:v>
      </x:c>
      <x:c r="E41" s="20" t="str">
        <x:v>First successful Claim after level2; once only.</x:v>
      </x:c>
      <x:c r="F41" s="20" t="str">
        <x:v>Planned</x:v>
      </x:c>
    </x:row>
    <x:row r="42" ht="28" customHeight="1">
      <x:c r="A42" s="2" t="str">
        <x:v>F035</x:v>
      </x:c>
      <x:c r="B42" s="50"/>
      <x:c r="C42" s="2" t="str">
        <x:v>Skill acquisition</x:v>
      </x:c>
      <x:c r="D42" s="19" t="str">
        <x:v>Override.skill</x:v>
      </x:c>
      <x:c r="E42" s="19" t="str">
        <x:v>Override</x:v>
      </x:c>
      <x:c r="F42" s="19" t="str">
        <x:v>Planned</x:v>
      </x:c>
    </x:row>
    <x:row r="43" ht="28" customHeight="1">
      <x:c r="A43" s="17" t="str">
        <x:v>F036</x:v>
      </x:c>
      <x:c r="B43" s="51"/>
      <x:c r="C43" s="17" t="str">
        <x:v>Skill acquisition</x:v>
      </x:c>
      <x:c r="D43" s="20" t="str">
        <x:v>Override.rank</x:v>
      </x:c>
      <x:c r="E43" s="61" t="n">
        <x:v>2</x:v>
      </x:c>
      <x:c r="F43" s="20" t="str">
        <x:v>Planned</x:v>
      </x:c>
    </x:row>
    <x:row r="44" ht="28" customHeight="1">
      <x:c r="A44" s="2" t="str">
        <x:v>F037</x:v>
      </x:c>
      <x:c r="B44" s="50"/>
      <x:c r="C44" s="2" t="str">
        <x:v>Skill acquisition</x:v>
      </x:c>
      <x:c r="D44" s="19" t="str">
        <x:v>Override.at</x:v>
      </x:c>
      <x:c r="E44" s="19" t="str">
        <x:v>Day 2 09:01:01</x:v>
      </x:c>
      <x:c r="F44" s="19" t="str">
        <x:v>Planned</x:v>
      </x:c>
    </x:row>
    <x:row r="45" ht="32" customHeight="1">
      <x:c r="A45" s="17" t="str">
        <x:v>F038</x:v>
      </x:c>
      <x:c r="B45" s="51"/>
      <x:c r="C45" s="17" t="str">
        <x:v>Skill acquisition</x:v>
      </x:c>
      <x:c r="D45" s="20" t="str">
        <x:v>Override.proof</x:v>
      </x:c>
      <x:c r="E45" s="20" t="str">
        <x:v>Current Rank1 fixture use at9m clears allied escape lane under realattack; successful physical shot at09:01:01.</x:v>
      </x:c>
      <x:c r="F45" s="20" t="str">
        <x:v>Planned</x:v>
      </x:c>
    </x:row>
    <x:row r="46" ht="28" customHeight="1">
      <x:c r="A46" s="2" t="str">
        <x:v>F039</x:v>
      </x:c>
      <x:c r="B46" s="50"/>
      <x:c r="C46" s="2" t="str">
        <x:v>Skill acquisition</x:v>
      </x:c>
      <x:c r="D46" s="19" t="str">
        <x:v>Override.practice_minutes_required</x:v>
      </x:c>
      <x:c r="E46" s="60" t="n">
        <x:v>120</x:v>
      </x:c>
      <x:c r="F46" s="19" t="str">
        <x:v>Planned</x:v>
      </x:c>
    </x:row>
    <x:row r="47" ht="28" customHeight="1">
      <x:c r="A47" s="17" t="str">
        <x:v>F040</x:v>
      </x:c>
      <x:c r="B47" s="51"/>
      <x:c r="C47" s="17" t="str">
        <x:v>Skill acquisition</x:v>
      </x:c>
      <x:c r="D47" s="20" t="str">
        <x:v>Override.minimum_level</x:v>
      </x:c>
      <x:c r="E47" s="61" t="n">
        <x:v>5</x:v>
      </x:c>
      <x:c r="F47" s="20" t="str">
        <x:v>Planned</x:v>
      </x:c>
    </x:row>
    <x:row r="48" ht="28" customHeight="1">
      <x:c r="A48" s="2" t="str">
        <x:v>F041</x:v>
      </x:c>
      <x:c r="B48" s="50"/>
      <x:c r="C48" s="2" t="str">
        <x:v>Skill acquisition</x:v>
      </x:c>
      <x:c r="D48" s="19" t="str">
        <x:v>Claim Room.skill</x:v>
      </x:c>
      <x:c r="E48" s="19" t="str">
        <x:v>Claim Room</x:v>
      </x:c>
      <x:c r="F48" s="19" t="str">
        <x:v>Planned</x:v>
      </x:c>
    </x:row>
    <x:row r="49" ht="28" customHeight="1">
      <x:c r="A49" s="17" t="str">
        <x:v>F042</x:v>
      </x:c>
      <x:c r="B49" s="51"/>
      <x:c r="C49" s="17" t="str">
        <x:v>Skill acquisition</x:v>
      </x:c>
      <x:c r="D49" s="20" t="str">
        <x:v>Claim Room.rank</x:v>
      </x:c>
      <x:c r="E49" s="61" t="n">
        <x:v>2</x:v>
      </x:c>
      <x:c r="F49" s="20" t="str">
        <x:v>Planned</x:v>
      </x:c>
    </x:row>
    <x:row r="50" ht="28" customHeight="1">
      <x:c r="A50" s="2" t="str">
        <x:v>F043</x:v>
      </x:c>
      <x:c r="B50" s="50"/>
      <x:c r="C50" s="2" t="str">
        <x:v>Skill acquisition</x:v>
      </x:c>
      <x:c r="D50" s="19" t="str">
        <x:v>Claim Room.at</x:v>
      </x:c>
      <x:c r="E50" s="19" t="str">
        <x:v>Day 2 12:35:30</x:v>
      </x:c>
      <x:c r="F50" s="19" t="str">
        <x:v>Planned</x:v>
      </x:c>
    </x:row>
    <x:row r="51" ht="28" customHeight="1">
      <x:c r="A51" s="17" t="str">
        <x:v>F044</x:v>
      </x:c>
      <x:c r="B51" s="51"/>
      <x:c r="C51" s="17" t="str">
        <x:v>Skill acquisition</x:v>
      </x:c>
      <x:c r="D51" s="20" t="str">
        <x:v>Claim Room.proof</x:v>
      </x:c>
      <x:c r="E51" s="20" t="str">
        <x:v>Current Rank1 valid30sec guarded Claim completes; no hostile crosses doorway.</x:v>
      </x:c>
      <x:c r="F51" s="20" t="str">
        <x:v>Planned</x:v>
      </x:c>
    </x:row>
    <x:row r="52" ht="28" customHeight="1">
      <x:c r="A52" s="2" t="str">
        <x:v>F045</x:v>
      </x:c>
      <x:c r="B52" s="50"/>
      <x:c r="C52" s="2" t="str">
        <x:v>Skill acquisition</x:v>
      </x:c>
      <x:c r="D52" s="19" t="str">
        <x:v>Claim Room.practice_minutes_required</x:v>
      </x:c>
      <x:c r="E52" s="60" t="n">
        <x:v>120</x:v>
      </x:c>
      <x:c r="F52" s="19" t="str">
        <x:v>Planned</x:v>
      </x:c>
    </x:row>
    <x:row r="53" ht="28" customHeight="1">
      <x:c r="A53" s="17" t="str">
        <x:v>F046</x:v>
      </x:c>
      <x:c r="B53" s="51"/>
      <x:c r="C53" s="17" t="str">
        <x:v>Skill acquisition</x:v>
      </x:c>
      <x:c r="D53" s="20" t="str">
        <x:v>Claim Room.minimum_level</x:v>
      </x:c>
      <x:c r="E53" s="61" t="n">
        <x:v>5</x:v>
      </x:c>
      <x:c r="F53" s="20" t="str">
        <x:v>Planned</x:v>
      </x:c>
    </x:row>
    <x:row r="54" ht="28" customHeight="1">
      <x:c r="A54" s="2" t="str">
        <x:v>F047</x:v>
      </x:c>
      <x:c r="B54" s="50"/>
      <x:c r="C54" s="2" t="str">
        <x:v>Skill acquisition</x:v>
      </x:c>
      <x:c r="D54" s="19" t="str">
        <x:v>Sovereign Ward.skill</x:v>
      </x:c>
      <x:c r="E54" s="19" t="str">
        <x:v>Sovereign Ward</x:v>
      </x:c>
      <x:c r="F54" s="19" t="str">
        <x:v>Planned</x:v>
      </x:c>
    </x:row>
    <x:row r="55" ht="28" customHeight="1">
      <x:c r="A55" s="17" t="str">
        <x:v>F048</x:v>
      </x:c>
      <x:c r="B55" s="51"/>
      <x:c r="C55" s="17" t="str">
        <x:v>Skill acquisition</x:v>
      </x:c>
      <x:c r="D55" s="20" t="str">
        <x:v>Sovereign Ward.rank</x:v>
      </x:c>
      <x:c r="E55" s="61" t="n">
        <x:v>2</x:v>
      </x:c>
      <x:c r="F55" s="20" t="str">
        <x:v>Planned</x:v>
      </x:c>
    </x:row>
    <x:row r="56" ht="28" customHeight="1">
      <x:c r="A56" s="2" t="str">
        <x:v>F049</x:v>
      </x:c>
      <x:c r="B56" s="50"/>
      <x:c r="C56" s="2" t="str">
        <x:v>Skill acquisition</x:v>
      </x:c>
      <x:c r="D56" s="19" t="str">
        <x:v>Sovereign Ward.at</x:v>
      </x:c>
      <x:c r="E56" s="19" t="str">
        <x:v>Day 4 06:20:08</x:v>
      </x:c>
      <x:c r="F56" s="19" t="str">
        <x:v>Planned</x:v>
      </x:c>
    </x:row>
    <x:row r="57" ht="32" customHeight="1">
      <x:c r="A57" s="17" t="str">
        <x:v>F050</x:v>
      </x:c>
      <x:c r="B57" s="51"/>
      <x:c r="C57" s="17" t="str">
        <x:v>Skill acquisition</x:v>
      </x:c>
      <x:c r="D57" s="20" t="str">
        <x:v>Sovereign Ward.proof</x:v>
      </x:c>
      <x:c r="E57" s="20" t="str">
        <x:v>Current Rank1 stationary Ward takes real impact at8sec after start,6sec after formation, after ignored feint.</x:v>
      </x:c>
      <x:c r="F57" s="20" t="str">
        <x:v>Planned</x:v>
      </x:c>
    </x:row>
    <x:row r="58" ht="32" customHeight="1">
      <x:c r="A58" s="2" t="str">
        <x:v>F051</x:v>
      </x:c>
      <x:c r="B58" s="50"/>
      <x:c r="C58" s="2" t="str">
        <x:v>Skill acquisition</x:v>
      </x:c>
      <x:c r="D58" s="19" t="str">
        <x:v>Sovereign Ward.practice_minutes_required</x:v>
      </x:c>
      <x:c r="E58" s="60" t="n">
        <x:v>120</x:v>
      </x:c>
      <x:c r="F58" s="19" t="str">
        <x:v>Planned</x:v>
      </x:c>
    </x:row>
    <x:row r="59" ht="28" customHeight="1">
      <x:c r="A59" s="17" t="str">
        <x:v>F052</x:v>
      </x:c>
      <x:c r="B59" s="51"/>
      <x:c r="C59" s="17" t="str">
        <x:v>Skill acquisition</x:v>
      </x:c>
      <x:c r="D59" s="20" t="str">
        <x:v>Sovereign Ward.minimum_level</x:v>
      </x:c>
      <x:c r="E59" s="61" t="n">
        <x:v>5</x:v>
      </x:c>
      <x:c r="F59" s="20" t="str">
        <x:v>Planned</x:v>
      </x:c>
    </x:row>
    <x:row r="60" ht="28" customHeight="1">
      <x:c r="A60" s="2" t="str">
        <x:v>F053</x:v>
      </x:c>
      <x:c r="B60" s="50"/>
      <x:c r="C60" s="2" t="str">
        <x:v>Room loss</x:v>
      </x:c>
      <x:c r="D60" s="19" t="str">
        <x:v>B.room</x:v>
      </x:c>
      <x:c r="E60" s="19" t="str">
        <x:v>B</x:v>
      </x:c>
      <x:c r="F60" s="19" t="str">
        <x:v>Planned</x:v>
      </x:c>
    </x:row>
    <x:row r="61" ht="28" customHeight="1">
      <x:c r="A61" s="17" t="str">
        <x:v>F054</x:v>
      </x:c>
      <x:c r="B61" s="51"/>
      <x:c r="C61" s="17" t="str">
        <x:v>Room loss</x:v>
      </x:c>
      <x:c r="D61" s="20" t="str">
        <x:v>B.at</x:v>
      </x:c>
      <x:c r="E61" s="20" t="str">
        <x:v>Day 2 09:10:00</x:v>
      </x:c>
      <x:c r="F61" s="20" t="str">
        <x:v>Planned</x:v>
      </x:c>
    </x:row>
    <x:row r="62" ht="28" customHeight="1">
      <x:c r="A62" s="2" t="str">
        <x:v>F055</x:v>
      </x:c>
      <x:c r="B62" s="50"/>
      <x:c r="C62" s="2" t="str">
        <x:v>Room loss</x:v>
      </x:c>
      <x:c r="D62" s="19" t="str">
        <x:v>B.cause</x:v>
      </x:c>
      <x:c r="E62" s="19" t="str">
        <x:v>Patrol physically destroys cistern anchor.</x:v>
      </x:c>
      <x:c r="F62" s="19" t="str">
        <x:v>Planned</x:v>
      </x:c>
    </x:row>
    <x:row r="63" ht="28" customHeight="1">
      <x:c r="A63" s="17" t="str">
        <x:v>F056</x:v>
      </x:c>
      <x:c r="B63" s="51"/>
      <x:c r="C63" s="17" t="str">
        <x:v>Room loss</x:v>
      </x:c>
      <x:c r="D63" s="20" t="str">
        <x:v>C.room</x:v>
      </x:c>
      <x:c r="E63" s="20" t="str">
        <x:v>C</x:v>
      </x:c>
      <x:c r="F63" s="20" t="str">
        <x:v>Planned</x:v>
      </x:c>
    </x:row>
    <x:row r="64" ht="28" customHeight="1">
      <x:c r="A64" s="2" t="str">
        <x:v>F057</x:v>
      </x:c>
      <x:c r="B64" s="50"/>
      <x:c r="C64" s="2" t="str">
        <x:v>Room loss</x:v>
      </x:c>
      <x:c r="D64" s="19" t="str">
        <x:v>C.at</x:v>
      </x:c>
      <x:c r="E64" s="19" t="str">
        <x:v>Day 3 10:25:00</x:v>
      </x:c>
      <x:c r="F64" s="19" t="str">
        <x:v>Planned</x:v>
      </x:c>
    </x:row>
    <x:row r="65" ht="28" customHeight="1">
      <x:c r="A65" s="17" t="str">
        <x:v>F058</x:v>
      </x:c>
      <x:c r="B65" s="51"/>
      <x:c r="C65" s="17" t="str">
        <x:v>Room loss</x:v>
      </x:c>
      <x:c r="D65" s="20" t="str">
        <x:v>C.cause</x:v>
      </x:c>
      <x:c r="E65" s="20" t="str">
        <x:v>Local attackers physically destroy archive anchor during failed annex retreat.</x:v>
      </x:c>
      <x:c r="F65" s="20" t="str">
        <x:v>Planned</x:v>
      </x:c>
    </x:row>
    <x:row r="66" ht="28" customHeight="1">
      <x:c r="A66" s="2" t="str">
        <x:v>F059</x:v>
      </x:c>
      <x:c r="B66" s="50" t="n">
        <x:v>1</x:v>
      </x:c>
      <x:c r="C66" s="2" t="str">
        <x:v>Causal progression</x:v>
      </x:c>
      <x:c r="D66" s="19" t="str">
        <x:v>Kip: Dungeon Sovereign.source_scene</x:v>
      </x:c>
      <x:c r="E66" s="19" t="str">
        <x:v>chapter-01</x:v>
      </x:c>
      <x:c r="F66" s="19" t="str">
        <x:v>Author plan</x:v>
      </x:c>
    </x:row>
    <x:row r="67" ht="28" customHeight="1">
      <x:c r="A67" s="17" t="str">
        <x:v>F060</x:v>
      </x:c>
      <x:c r="B67" s="51" t="n">
        <x:v>1</x:v>
      </x:c>
      <x:c r="C67" s="17" t="str">
        <x:v>Causal progression</x:v>
      </x:c>
      <x:c r="D67" s="20" t="str">
        <x:v>Kip: Dungeon Sovereign.kind</x:v>
      </x:c>
      <x:c r="E67" s="20" t="str">
        <x:v>class</x:v>
      </x:c>
      <x:c r="F67" s="20" t="str">
        <x:v>Author plan</x:v>
      </x:c>
    </x:row>
    <x:row r="68" ht="28" customHeight="1">
      <x:c r="A68" s="2" t="str">
        <x:v>F061</x:v>
      </x:c>
      <x:c r="B68" s="50" t="n">
        <x:v>1</x:v>
      </x:c>
      <x:c r="C68" s="2" t="str">
        <x:v>Causal progression</x:v>
      </x:c>
      <x:c r="D68" s="19" t="str">
        <x:v>Kip: Dungeon Sovereign.rule_id</x:v>
      </x:c>
      <x:c r="E68" s="19" t="str">
        <x:v>Dungeon Sovereign</x:v>
      </x:c>
      <x:c r="F68" s="19" t="str">
        <x:v>Author plan</x:v>
      </x:c>
    </x:row>
    <x:row r="69" ht="28" customHeight="1">
      <x:c r="A69" s="17" t="str">
        <x:v>F062</x:v>
      </x:c>
      <x:c r="B69" s="51" t="n">
        <x:v>1</x:v>
      </x:c>
      <x:c r="C69" s="17" t="str">
        <x:v>Causal progression</x:v>
      </x:c>
      <x:c r="D69" s="20" t="str">
        <x:v>Kip: Dungeon Sovereign.before</x:v>
      </x:c>
      <x:c r="E69" s="20" t="str">
        <x:v>unawakened outsider</x:v>
      </x:c>
      <x:c r="F69" s="20" t="str">
        <x:v>Author plan</x:v>
      </x:c>
    </x:row>
    <x:row r="70" ht="28" customHeight="1">
      <x:c r="A70" s="2" t="str">
        <x:v>F063</x:v>
      </x:c>
      <x:c r="B70" s="50" t="n">
        <x:v>1</x:v>
      </x:c>
      <x:c r="C70" s="2" t="str">
        <x:v>Causal progression</x:v>
      </x:c>
      <x:c r="D70" s="19" t="str">
        <x:v>Kip: Dungeon Sovereign.event_or_choice</x:v>
      </x:c>
      <x:c r="E70" s="19" t="str">
        <x:v>arrival grants legendary permission</x:v>
      </x:c>
      <x:c r="F70" s="19" t="str">
        <x:v>Author plan</x:v>
      </x:c>
    </x:row>
    <x:row r="71" ht="32" customHeight="1">
      <x:c r="A71" s="17" t="str">
        <x:v>F064</x:v>
      </x:c>
      <x:c r="B71" s="51" t="n">
        <x:v>1</x:v>
      </x:c>
      <x:c r="C71" s="17" t="str">
        <x:v>Causal progression</x:v>
      </x:c>
      <x:c r="D71" s="20" t="str">
        <x:v>Kip: Dungeon Sovereign.cost_or_requirement</x:v>
      </x:c>
      <x:c r="E71" s="20" t="str">
        <x:v>inexperience; stranded</x:v>
      </x:c>
      <x:c r="F71" s="20" t="str">
        <x:v>Author plan</x:v>
      </x:c>
    </x:row>
    <x:row r="72" ht="28" customHeight="1">
      <x:c r="A72" s="2" t="str">
        <x:v>F065</x:v>
      </x:c>
      <x:c r="B72" s="50" t="n">
        <x:v>1</x:v>
      </x:c>
      <x:c r="C72" s="2" t="str">
        <x:v>Causal progression</x:v>
      </x:c>
      <x:c r="D72" s="19" t="str">
        <x:v>Kip: Dungeon Sovereign.gain</x:v>
      </x:c>
      <x:c r="E72" s="19" t="str">
        <x:v>Sight and Override, Claim available</x:v>
      </x:c>
      <x:c r="F72" s="19" t="str">
        <x:v>Author plan</x:v>
      </x:c>
    </x:row>
    <x:row r="73" ht="28" customHeight="1">
      <x:c r="A73" s="17" t="str">
        <x:v>F066</x:v>
      </x:c>
      <x:c r="B73" s="51" t="n">
        <x:v>1</x:v>
      </x:c>
      <x:c r="C73" s="17" t="str">
        <x:v>Causal progression</x:v>
      </x:c>
      <x:c r="D73" s="20" t="str">
        <x:v>Kip: Dungeon Sovereign.after</x:v>
      </x:c>
      <x:c r="E73" s="20" t="str">
        <x:v>L1 Mana40</x:v>
      </x:c>
      <x:c r="F73" s="20" t="str">
        <x:v>Author plan</x:v>
      </x:c>
    </x:row>
    <x:row r="74" ht="28" customHeight="1">
      <x:c r="A74" s="2" t="str">
        <x:v>F067</x:v>
      </x:c>
      <x:c r="B74" s="50" t="n">
        <x:v>1</x:v>
      </x:c>
      <x:c r="C74" s="2" t="str">
        <x:v>Causal progression</x:v>
      </x:c>
      <x:c r="D74" s="19" t="str">
        <x:v>Kip: Dungeon Sovereign.demonstration</x:v>
      </x:c>
      <x:c r="E74" s="19" t="str">
        <x:v>first ready launcher triggered</x:v>
      </x:c>
      <x:c r="F74" s="19" t="str">
        <x:v>Author plan</x:v>
      </x:c>
    </x:row>
    <x:row r="75" ht="28" customHeight="1">
      <x:c r="A75" s="17" t="str">
        <x:v>F068</x:v>
      </x:c>
      <x:c r="B75" s="51" t="n">
        <x:v>1</x:v>
      </x:c>
      <x:c r="C75" s="17" t="str">
        <x:v>Causal progression</x:v>
      </x:c>
      <x:c r="D75" s="20" t="str">
        <x:v>Kip: Dungeon Sovereign.remaining_limit</x:v>
      </x:c>
      <x:c r="E75" s="20" t="str">
        <x:v>fixture only, ordinary arc, ten Mana</x:v>
      </x:c>
      <x:c r="F75" s="20" t="str">
        <x:v>Author plan</x:v>
      </x:c>
    </x:row>
    <x:row r="76" ht="28" customHeight="1">
      <x:c r="A76" s="2" t="str">
        <x:v>F069</x:v>
      </x:c>
      <x:c r="B76" s="50" t="n">
        <x:v>1</x:v>
      </x:c>
      <x:c r="C76" s="2" t="str">
        <x:v>Causal progression</x:v>
      </x:c>
      <x:c r="D76" s="19" t="str">
        <x:v>Kip: Dungeon Sovereign.next_dependency</x:v>
      </x:c>
      <x:c r="E76" s="19" t="str">
        <x:v>second paid vent use</x:v>
      </x:c>
      <x:c r="F76" s="19" t="str">
        <x:v>Author plan</x:v>
      </x:c>
    </x:row>
    <x:row r="77" ht="28" customHeight="1">
      <x:c r="A77" s="17" t="str">
        <x:v>F070</x:v>
      </x:c>
      <x:c r="B77" s="51" t="n">
        <x:v>1</x:v>
      </x:c>
      <x:c r="C77" s="17" t="str">
        <x:v>Causal progression</x:v>
      </x:c>
      <x:c r="D77" s="20" t="str">
        <x:v>Kip: XP reset.source_scene</x:v>
      </x:c>
      <x:c r="E77" s="20" t="str">
        <x:v>chapter-01</x:v>
      </x:c>
      <x:c r="F77" s="20" t="str">
        <x:v>Author plan</x:v>
      </x:c>
    </x:row>
    <x:row r="78" ht="28" customHeight="1">
      <x:c r="A78" s="2" t="str">
        <x:v>F071</x:v>
      </x:c>
      <x:c r="B78" s="50" t="n">
        <x:v>1</x:v>
      </x:c>
      <x:c r="C78" s="2" t="str">
        <x:v>Causal progression</x:v>
      </x:c>
      <x:c r="D78" s="19" t="str">
        <x:v>Kip: XP reset.kind</x:v>
      </x:c>
      <x:c r="E78" s="19" t="str">
        <x:v>level</x:v>
      </x:c>
      <x:c r="F78" s="19" t="str">
        <x:v>Author plan</x:v>
      </x:c>
    </x:row>
    <x:row r="79" ht="28" customHeight="1">
      <x:c r="A79" s="17" t="str">
        <x:v>F072</x:v>
      </x:c>
      <x:c r="B79" s="51" t="n">
        <x:v>1</x:v>
      </x:c>
      <x:c r="C79" s="17" t="str">
        <x:v>Causal progression</x:v>
      </x:c>
      <x:c r="D79" s="20" t="str">
        <x:v>Kip: XP reset.rule_id</x:v>
      </x:c>
      <x:c r="E79" s="20" t="str">
        <x:v>XP reset</x:v>
      </x:c>
      <x:c r="F79" s="20" t="str">
        <x:v>Author plan</x:v>
      </x:c>
    </x:row>
    <x:row r="80" ht="28" customHeight="1">
      <x:c r="A80" s="2" t="str">
        <x:v>F073</x:v>
      </x:c>
      <x:c r="B80" s="50" t="n">
        <x:v>1</x:v>
      </x:c>
      <x:c r="C80" s="2" t="str">
        <x:v>Causal progression</x:v>
      </x:c>
      <x:c r="D80" s="19" t="str">
        <x:v>Kip: XP reset.before</x:v>
      </x:c>
      <x:c r="E80" s="19" t="str">
        <x:v>L1 bar0/100 Mana20/40</x:v>
      </x:c>
      <x:c r="F80" s="19" t="str">
        <x:v>Author plan</x:v>
      </x:c>
    </x:row>
    <x:row r="81" ht="28" customHeight="1">
      <x:c r="A81" s="17" t="str">
        <x:v>F074</x:v>
      </x:c>
      <x:c r="B81" s="51" t="n">
        <x:v>1</x:v>
      </x:c>
      <x:c r="C81" s="17" t="str">
        <x:v>Causal progression</x:v>
      </x:c>
      <x:c r="D81" s="20" t="str">
        <x:v>Kip: XP reset.event_or_choice</x:v>
      </x:c>
      <x:c r="E81" s="20" t="str">
        <x:v>linked retreat materially resolved</x:v>
      </x:c>
      <x:c r="F81" s="20" t="str">
        <x:v>Author plan</x:v>
      </x:c>
    </x:row>
    <x:row r="82" ht="28" customHeight="1">
      <x:c r="A82" s="2" t="str">
        <x:v>F075</x:v>
      </x:c>
      <x:c r="B82" s="50" t="n">
        <x:v>1</x:v>
      </x:c>
      <x:c r="C82" s="2" t="str">
        <x:v>Causal progression</x:v>
      </x:c>
      <x:c r="D82" s="19" t="str">
        <x:v>Kip: XP reset.cost_or_requirement</x:v>
      </x:c>
      <x:c r="E82" s="19" t="str">
        <x:v>two Overrides cost20; no quiet recovery</x:v>
      </x:c>
      <x:c r="F82" s="19" t="str">
        <x:v>Author plan</x:v>
      </x:c>
    </x:row>
    <x:row r="83" ht="28" customHeight="1">
      <x:c r="A83" s="17" t="str">
        <x:v>F076</x:v>
      </x:c>
      <x:c r="B83" s="51" t="n">
        <x:v>1</x:v>
      </x:c>
      <x:c r="C83" s="17" t="str">
        <x:v>Causal progression</x:v>
      </x:c>
      <x:c r="D83" s="20" t="str">
        <x:v>Kip: XP reset.gain</x:v>
      </x:c>
      <x:c r="E83" s="20" t="str">
        <x:v>100XP, maxMana+5</x:v>
      </x:c>
      <x:c r="F83" s="20" t="str">
        <x:v>Author plan</x:v>
      </x:c>
    </x:row>
    <x:row r="84" ht="28" customHeight="1">
      <x:c r="A84" s="2" t="str">
        <x:v>F077</x:v>
      </x:c>
      <x:c r="B84" s="50" t="n">
        <x:v>1</x:v>
      </x:c>
      <x:c r="C84" s="2" t="str">
        <x:v>Causal progression</x:v>
      </x:c>
      <x:c r="D84" s="19" t="str">
        <x:v>Kip: XP reset.after</x:v>
      </x:c>
      <x:c r="E84" s="19" t="str">
        <x:v>L2 bar0/200 Mana20/45</x:v>
      </x:c>
      <x:c r="F84" s="19" t="str">
        <x:v>Author plan</x:v>
      </x:c>
    </x:row>
    <x:row r="85" ht="28" customHeight="1">
      <x:c r="A85" s="17" t="str">
        <x:v>F078</x:v>
      </x:c>
      <x:c r="B85" s="51" t="n">
        <x:v>1</x:v>
      </x:c>
      <x:c r="C85" s="17" t="str">
        <x:v>Causal progression</x:v>
      </x:c>
      <x:c r="D85" s="20" t="str">
        <x:v>Kip: XP reset.demonstration</x:v>
      </x:c>
      <x:c r="E85" s="20" t="str">
        <x:v>resource limit constrains next choice</x:v>
      </x:c>
      <x:c r="F85" s="20" t="str">
        <x:v>Author plan</x:v>
      </x:c>
    </x:row>
    <x:row r="86" ht="28" customHeight="1">
      <x:c r="A86" s="2" t="str">
        <x:v>F079</x:v>
      </x:c>
      <x:c r="B86" s="50" t="n">
        <x:v>1</x:v>
      </x:c>
      <x:c r="C86" s="2" t="str">
        <x:v>Causal progression</x:v>
      </x:c>
      <x:c r="D86" s="19" t="str">
        <x:v>Kip: XP reset.remaining_limit</x:v>
      </x:c>
      <x:c r="E86" s="19" t="str">
        <x:v>no refill or healing</x:v>
      </x:c>
      <x:c r="F86" s="19" t="str">
        <x:v>Author plan</x:v>
      </x:c>
    </x:row>
    <x:row r="87" ht="28" customHeight="1">
      <x:c r="A87" s="17" t="str">
        <x:v>F080</x:v>
      </x:c>
      <x:c r="B87" s="51" t="n">
        <x:v>1</x:v>
      </x:c>
      <x:c r="C87" s="17" t="str">
        <x:v>Causal progression</x:v>
      </x:c>
      <x:c r="D87" s="20" t="str">
        <x:v>Kip: XP reset.next_dependency</x:v>
      </x:c>
      <x:c r="E87" s="20" t="str">
        <x:v>first real room claim</x:v>
      </x:c>
      <x:c r="F87" s="20" t="str">
        <x:v>Author plan</x:v>
      </x:c>
    </x:row>
    <x:row r="88" ht="28" customHeight="1">
      <x:c r="A88" s="2" t="str">
        <x:v>F081</x:v>
      </x:c>
      <x:c r="B88" s="50" t="n">
        <x:v>2</x:v>
      </x:c>
      <x:c r="C88" s="2" t="str">
        <x:v>Causal progression</x:v>
      </x:c>
      <x:c r="D88" s="19" t="str">
        <x:v>Kip: First Claim.source_scene</x:v>
      </x:c>
      <x:c r="E88" s="19" t="str">
        <x:v>chapter-02</x:v>
      </x:c>
      <x:c r="F88" s="19" t="str">
        <x:v>Author plan</x:v>
      </x:c>
    </x:row>
    <x:row r="89" ht="28" customHeight="1">
      <x:c r="A89" s="17" t="str">
        <x:v>F082</x:v>
      </x:c>
      <x:c r="B89" s="51" t="n">
        <x:v>2</x:v>
      </x:c>
      <x:c r="C89" s="17" t="str">
        <x:v>Causal progression</x:v>
      </x:c>
      <x:c r="D89" s="20" t="str">
        <x:v>Kip: First Claim.kind</x:v>
      </x:c>
      <x:c r="E89" s="20" t="str">
        <x:v>skill milestone</x:v>
      </x:c>
      <x:c r="F89" s="20" t="str">
        <x:v>Author plan</x:v>
      </x:c>
    </x:row>
    <x:row r="90" ht="28" customHeight="1">
      <x:c r="A90" s="2" t="str">
        <x:v>F083</x:v>
      </x:c>
      <x:c r="B90" s="50" t="n">
        <x:v>2</x:v>
      </x:c>
      <x:c r="C90" s="2" t="str">
        <x:v>Causal progression</x:v>
      </x:c>
      <x:c r="D90" s="19" t="str">
        <x:v>Kip: First Claim.rule_id</x:v>
      </x:c>
      <x:c r="E90" s="19" t="str">
        <x:v>First Claim</x:v>
      </x:c>
      <x:c r="F90" s="19" t="str">
        <x:v>Author plan</x:v>
      </x:c>
    </x:row>
    <x:row r="91" ht="28" customHeight="1">
      <x:c r="A91" s="17" t="str">
        <x:v>F084</x:v>
      </x:c>
      <x:c r="B91" s="51" t="n">
        <x:v>2</x:v>
      </x:c>
      <x:c r="C91" s="17" t="str">
        <x:v>Causal progression</x:v>
      </x:c>
      <x:c r="D91" s="20" t="str">
        <x:v>Kip: First Claim.before</x:v>
      </x:c>
      <x:c r="E91" s="20" t="str">
        <x:v>no owned room</x:v>
      </x:c>
      <x:c r="F91" s="20" t="str">
        <x:v>Author plan</x:v>
      </x:c>
    </x:row>
    <x:row r="92" ht="28" customHeight="1">
      <x:c r="A92" s="2" t="str">
        <x:v>F085</x:v>
      </x:c>
      <x:c r="B92" s="50" t="n">
        <x:v>2</x:v>
      </x:c>
      <x:c r="C92" s="2" t="str">
        <x:v>Causal progression</x:v>
      </x:c>
      <x:c r="D92" s="19" t="str">
        <x:v>Kip: First Claim.event_or_choice</x:v>
      </x:c>
      <x:c r="E92" s="19" t="str">
        <x:v>group defends valid thirty-second claim</x:v>
      </x:c>
      <x:c r="F92" s="19" t="str">
        <x:v>Author plan</x:v>
      </x:c>
    </x:row>
    <x:row r="93" ht="28" customHeight="1">
      <x:c r="A93" s="17" t="str">
        <x:v>F086</x:v>
      </x:c>
      <x:c r="B93" s="51" t="n">
        <x:v>2</x:v>
      </x:c>
      <x:c r="C93" s="17" t="str">
        <x:v>Causal progression</x:v>
      </x:c>
      <x:c r="D93" s="20" t="str">
        <x:v>Kip: First Claim.cost_or_requirement</x:v>
      </x:c>
      <x:c r="E93" s="20" t="str">
        <x:v>20Mana, real cleared anchor</x:v>
      </x:c>
      <x:c r="F93" s="20" t="str">
        <x:v>Author plan</x:v>
      </x:c>
    </x:row>
    <x:row r="94" ht="28" customHeight="1">
      <x:c r="A94" s="2" t="str">
        <x:v>F087</x:v>
      </x:c>
      <x:c r="B94" s="50" t="n">
        <x:v>2</x:v>
      </x:c>
      <x:c r="C94" s="2" t="str">
        <x:v>Causal progression</x:v>
      </x:c>
      <x:c r="D94" s="19" t="str">
        <x:v>Kip: First Claim.gain</x:v>
      </x:c>
      <x:c r="E94" s="19" t="str">
        <x:v>Sovereign Ward rank1</x:v>
      </x:c>
      <x:c r="F94" s="19" t="str">
        <x:v>Author plan</x:v>
      </x:c>
    </x:row>
    <x:row r="95" ht="28" customHeight="1">
      <x:c r="A95" s="17" t="str">
        <x:v>F088</x:v>
      </x:c>
      <x:c r="B95" s="51" t="n">
        <x:v>2</x:v>
      </x:c>
      <x:c r="C95" s="17" t="str">
        <x:v>Causal progression</x:v>
      </x:c>
      <x:c r="D95" s="20" t="str">
        <x:v>Kip: First Claim.after</x:v>
      </x:c>
      <x:c r="E95" s="20" t="str">
        <x:v>service owned, Mana0/45</x:v>
      </x:c>
      <x:c r="F95" s="20" t="str">
        <x:v>Author plan</x:v>
      </x:c>
    </x:row>
    <x:row r="96" ht="28" customHeight="1">
      <x:c r="A96" s="2" t="str">
        <x:v>F089</x:v>
      </x:c>
      <x:c r="B96" s="50" t="n">
        <x:v>2</x:v>
      </x:c>
      <x:c r="C96" s="2" t="str">
        <x:v>Causal progression</x:v>
      </x:c>
      <x:c r="D96" s="19" t="str">
        <x:v>Kip: First Claim.demonstration</x:v>
      </x:c>
      <x:c r="E96" s="19" t="str">
        <x:v>three quiet minutes then paid controlled Ward test</x:v>
      </x:c>
      <x:c r="F96" s="19" t="str">
        <x:v>Author plan</x:v>
      </x:c>
    </x:row>
    <x:row r="97" ht="28" customHeight="1">
      <x:c r="A97" s="17" t="str">
        <x:v>F090</x:v>
      </x:c>
      <x:c r="B97" s="51" t="n">
        <x:v>2</x:v>
      </x:c>
      <x:c r="C97" s="17" t="str">
        <x:v>Causal progression</x:v>
      </x:c>
      <x:c r="D97" s="20" t="str">
        <x:v>Kip: First Claim.remaining_limit</x:v>
      </x:c>
      <x:c r="E97" s="20" t="str">
        <x:v>one impact at half force, no automatic safety</x:v>
      </x:c>
      <x:c r="F97" s="20" t="str">
        <x:v>Author plan</x:v>
      </x:c>
    </x:row>
    <x:row r="98" ht="28" customHeight="1">
      <x:c r="A98" s="2" t="str">
        <x:v>F091</x:v>
      </x:c>
      <x:c r="B98" s="50" t="n">
        <x:v>2</x:v>
      </x:c>
      <x:c r="C98" s="2" t="str">
        <x:v>Causal progression</x:v>
      </x:c>
      <x:c r="D98" s="19" t="str">
        <x:v>Kip: First Claim.next_dependency</x:v>
      </x:c>
      <x:c r="E98" s="19" t="str">
        <x:v>portable defensive use chapter3</x:v>
      </x:c>
      <x:c r="F98" s="19" t="str">
        <x:v>Author plan</x:v>
      </x:c>
    </x:row>
    <x:row r="99" ht="28" customHeight="1">
      <x:c r="A99" s="17" t="str">
        <x:v>F092</x:v>
      </x:c>
      <x:c r="B99" s="51" t="n">
        <x:v>6</x:v>
      </x:c>
      <x:c r="C99" s="17" t="str">
        <x:v>Causal progression</x:v>
      </x:c>
      <x:c r="D99" s="20" t="str">
        <x:v>Kip: Claim Room rank1.source_scene</x:v>
      </x:c>
      <x:c r="E99" s="20" t="str">
        <x:v>chapter-06</x:v>
      </x:c>
      <x:c r="F99" s="20" t="str">
        <x:v>Author plan</x:v>
      </x:c>
    </x:row>
    <x:row r="100" ht="28" customHeight="1">
      <x:c r="A100" s="2" t="str">
        <x:v>F093</x:v>
      </x:c>
      <x:c r="B100" s="50" t="n">
        <x:v>6</x:v>
      </x:c>
      <x:c r="C100" s="2" t="str">
        <x:v>Causal progression</x:v>
      </x:c>
      <x:c r="D100" s="19" t="str">
        <x:v>Kip: Claim Room rank1.kind</x:v>
      </x:c>
      <x:c r="E100" s="19" t="str">
        <x:v>capacity and judgment</x:v>
      </x:c>
      <x:c r="F100" s="19" t="str">
        <x:v>Author plan</x:v>
      </x:c>
    </x:row>
    <x:row r="101" ht="28" customHeight="1">
      <x:c r="A101" s="17" t="str">
        <x:v>F094</x:v>
      </x:c>
      <x:c r="B101" s="51" t="n">
        <x:v>6</x:v>
      </x:c>
      <x:c r="C101" s="17" t="str">
        <x:v>Causal progression</x:v>
      </x:c>
      <x:c r="D101" s="20" t="str">
        <x:v>Kip: Claim Room rank1.rule_id</x:v>
      </x:c>
      <x:c r="E101" s="20" t="str">
        <x:v>Claim Room rank1</x:v>
      </x:c>
      <x:c r="F101" s="20" t="str">
        <x:v>Author plan</x:v>
      </x:c>
    </x:row>
    <x:row r="102" ht="28" customHeight="1">
      <x:c r="A102" s="2" t="str">
        <x:v>F095</x:v>
      </x:c>
      <x:c r="B102" s="50" t="n">
        <x:v>6</x:v>
      </x:c>
      <x:c r="C102" s="2" t="str">
        <x:v>Causal progression</x:v>
      </x:c>
      <x:c r="D102" s="19" t="str">
        <x:v>Kip: Claim Room rank1.before</x:v>
      </x:c>
      <x:c r="E102" s="19" t="str">
        <x:v>service owned</x:v>
      </x:c>
      <x:c r="F102" s="19" t="str">
        <x:v>Author plan</x:v>
      </x:c>
    </x:row>
    <x:row r="103" ht="28" customHeight="1">
      <x:c r="A103" s="17" t="str">
        <x:v>F096</x:v>
      </x:c>
      <x:c r="B103" s="51" t="n">
        <x:v>6</x:v>
      </x:c>
      <x:c r="C103" s="17" t="str">
        <x:v>Causal progression</x:v>
      </x:c>
      <x:c r="D103" s="20" t="str">
        <x:v>Kip: Claim Room rank1.event_or_choice</x:v>
      </x:c>
      <x:c r="E103" s="20" t="str">
        <x:v>choose better water refuge</x:v>
      </x:c>
      <x:c r="F103" s="20" t="str">
        <x:v>Author plan</x:v>
      </x:c>
    </x:row>
    <x:row r="104" ht="32" customHeight="1">
      <x:c r="A104" s="2" t="str">
        <x:v>F097</x:v>
      </x:c>
      <x:c r="B104" s="50" t="n">
        <x:v>6</x:v>
      </x:c>
      <x:c r="C104" s="2" t="str">
        <x:v>Causal progression</x:v>
      </x:c>
      <x:c r="D104" s="19" t="str">
        <x:v>Kip: Claim Room rank1.cost_or_requirement</x:v>
      </x:c>
      <x:c r="E104" s="19" t="str">
        <x:v>clear threat;20Mana; release service</x:v>
      </x:c>
      <x:c r="F104" s="19" t="str">
        <x:v>Author plan</x:v>
      </x:c>
    </x:row>
    <x:row r="105" ht="28" customHeight="1">
      <x:c r="A105" s="17" t="str">
        <x:v>F098</x:v>
      </x:c>
      <x:c r="B105" s="51" t="n">
        <x:v>6</x:v>
      </x:c>
      <x:c r="C105" s="17" t="str">
        <x:v>Causal progression</x:v>
      </x:c>
      <x:c r="D105" s="20" t="str">
        <x:v>Kip: Claim Room rank1.gain</x:v>
      </x:c>
      <x:c r="E105" s="20" t="str">
        <x:v>sustainable water refuge and level5 access</x:v>
      </x:c>
      <x:c r="F105" s="20" t="str">
        <x:v>Author plan</x:v>
      </x:c>
    </x:row>
    <x:row r="106" ht="28" customHeight="1">
      <x:c r="A106" s="2" t="str">
        <x:v>F099</x:v>
      </x:c>
      <x:c r="B106" s="50" t="n">
        <x:v>6</x:v>
      </x:c>
      <x:c r="C106" s="2" t="str">
        <x:v>Causal progression</x:v>
      </x:c>
      <x:c r="D106" s="19" t="str">
        <x:v>Kip: Claim Room rank1.after</x:v>
      </x:c>
      <x:c r="E106" s="19" t="str">
        <x:v>cistern owned, L5 bar100/500</x:v>
      </x:c>
      <x:c r="F106" s="19" t="str">
        <x:v>Author plan</x:v>
      </x:c>
    </x:row>
    <x:row r="107" ht="28" customHeight="1">
      <x:c r="A107" s="17" t="str">
        <x:v>F100</x:v>
      </x:c>
      <x:c r="B107" s="51" t="n">
        <x:v>6</x:v>
      </x:c>
      <x:c r="C107" s="17" t="str">
        <x:v>Causal progression</x:v>
      </x:c>
      <x:c r="D107" s="20" t="str">
        <x:v>Kip: Claim Room rank1.demonstration</x:v>
      </x:c>
      <x:c r="E107" s="20" t="str">
        <x:v>old room visibly released; creatures still enter</x:v>
      </x:c>
      <x:c r="F107" s="20" t="str">
        <x:v>Author plan</x:v>
      </x:c>
    </x:row>
    <x:row r="108" ht="28" customHeight="1">
      <x:c r="A108" s="2" t="str">
        <x:v>F101</x:v>
      </x:c>
      <x:c r="B108" s="50" t="n">
        <x:v>6</x:v>
      </x:c>
      <x:c r="C108" s="2" t="str">
        <x:v>Causal progression</x:v>
      </x:c>
      <x:c r="D108" s="19" t="str">
        <x:v>Kip: Claim Room rank1.remaining_limit</x:v>
      </x:c>
      <x:c r="E108" s="19" t="str">
        <x:v>one room; no free supplies, immunity or rank</x:v>
      </x:c>
      <x:c r="F108" s="19" t="str">
        <x:v>Author plan</x:v>
      </x:c>
    </x:row>
    <x:row r="109" ht="28" customHeight="1">
      <x:c r="A109" s="17" t="str">
        <x:v>F102</x:v>
      </x:c>
      <x:c r="B109" s="51" t="n">
        <x:v>6</x:v>
      </x:c>
      <x:c r="C109" s="17" t="str">
        <x:v>Causal progression</x:v>
      </x:c>
      <x:c r="D109" s="20" t="str">
        <x:v>Kip: Claim Room rank1.next_dependency</x:v>
      </x:c>
      <x:c r="E109" s="20" t="str">
        <x:v>four focused training hours</x:v>
      </x:c>
      <x:c r="F109" s="20" t="str">
        <x:v>Author plan</x:v>
      </x:c>
    </x:row>
    <x:row r="110" ht="28" customHeight="1">
      <x:c r="A110" s="2" t="str">
        <x:v>F103</x:v>
      </x:c>
      <x:c r="B110" s="50" t="n">
        <x:v>8</x:v>
      </x:c>
      <x:c r="C110" s="2" t="str">
        <x:v>Causal progression</x:v>
      </x:c>
      <x:c r="D110" s="19" t="str">
        <x:v>Kip: Override rank2.source_scene</x:v>
      </x:c>
      <x:c r="E110" s="19" t="str">
        <x:v>chapter-08</x:v>
      </x:c>
      <x:c r="F110" s="19" t="str">
        <x:v>Author plan</x:v>
      </x:c>
    </x:row>
    <x:row r="111" ht="28" customHeight="1">
      <x:c r="A111" s="17" t="str">
        <x:v>F104</x:v>
      </x:c>
      <x:c r="B111" s="51" t="n">
        <x:v>8</x:v>
      </x:c>
      <x:c r="C111" s="17" t="str">
        <x:v>Causal progression</x:v>
      </x:c>
      <x:c r="D111" s="20" t="str">
        <x:v>Kip: Override rank2.kind</x:v>
      </x:c>
      <x:c r="E111" s="20" t="str">
        <x:v>rank</x:v>
      </x:c>
      <x:c r="F111" s="20" t="str">
        <x:v>Author plan</x:v>
      </x:c>
    </x:row>
    <x:row r="112" ht="28" customHeight="1">
      <x:c r="A112" s="2" t="str">
        <x:v>F105</x:v>
      </x:c>
      <x:c r="B112" s="50" t="n">
        <x:v>8</x:v>
      </x:c>
      <x:c r="C112" s="2" t="str">
        <x:v>Causal progression</x:v>
      </x:c>
      <x:c r="D112" s="19" t="str">
        <x:v>Kip: Override rank2.rule_id</x:v>
      </x:c>
      <x:c r="E112" s="19" t="str">
        <x:v>Override rank2</x:v>
      </x:c>
      <x:c r="F112" s="19" t="str">
        <x:v>Author plan</x:v>
      </x:c>
    </x:row>
    <x:row r="113" ht="28" customHeight="1">
      <x:c r="A113" s="17" t="str">
        <x:v>F106</x:v>
      </x:c>
      <x:c r="B113" s="51" t="n">
        <x:v>8</x:v>
      </x:c>
      <x:c r="C113" s="17" t="str">
        <x:v>Causal progression</x:v>
      </x:c>
      <x:c r="D113" s="20" t="str">
        <x:v>Kip: Override rank2.before</x:v>
      </x:c>
      <x:c r="E113" s="20" t="str">
        <x:v>range10m, L5,120min focused practice</x:v>
      </x:c>
      <x:c r="F113" s="20" t="str">
        <x:v>Author plan</x:v>
      </x:c>
    </x:row>
    <x:row r="114" ht="28" customHeight="1">
      <x:c r="A114" s="2" t="str">
        <x:v>F107</x:v>
      </x:c>
      <x:c r="B114" s="50" t="n">
        <x:v>8</x:v>
      </x:c>
      <x:c r="C114" s="2" t="str">
        <x:v>Causal progression</x:v>
      </x:c>
      <x:c r="D114" s="19" t="str">
        <x:v>Kip: Override rank2.event_or_choice</x:v>
      </x:c>
      <x:c r="E114" s="19" t="str">
        <x:v>old-version redirected fixture keeps ally lane clear</x:v>
      </x:c>
      <x:c r="F114" s="19" t="str">
        <x:v>Author plan</x:v>
      </x:c>
    </x:row>
    <x:row r="115" ht="32" customHeight="1">
      <x:c r="A115" s="17" t="str">
        <x:v>F108</x:v>
      </x:c>
      <x:c r="B115" s="51" t="n">
        <x:v>8</x:v>
      </x:c>
      <x:c r="C115" s="17" t="str">
        <x:v>Causal progression</x:v>
      </x:c>
      <x:c r="D115" s="20" t="str">
        <x:v>Kip: Override rank2.cost_or_requirement</x:v>
      </x:c>
      <x:c r="E115" s="20" t="str">
        <x:v>10Mana proof; physical patrol threatens people</x:v>
      </x:c>
      <x:c r="F115" s="20" t="str">
        <x:v>Author plan</x:v>
      </x:c>
    </x:row>
    <x:row r="116" ht="28" customHeight="1">
      <x:c r="A116" s="2" t="str">
        <x:v>F109</x:v>
      </x:c>
      <x:c r="B116" s="50" t="n">
        <x:v>8</x:v>
      </x:c>
      <x:c r="C116" s="2" t="str">
        <x:v>Causal progression</x:v>
      </x:c>
      <x:c r="D116" s="19" t="str">
        <x:v>Kip: Override rank2.gain</x:v>
      </x:c>
      <x:c r="E116" s="19" t="str">
        <x:v>range15m only</x:v>
      </x:c>
      <x:c r="F116" s="19" t="str">
        <x:v>Author plan</x:v>
      </x:c>
    </x:row>
    <x:row r="117" ht="28" customHeight="1">
      <x:c r="A117" s="17" t="str">
        <x:v>F110</x:v>
      </x:c>
      <x:c r="B117" s="51" t="n">
        <x:v>8</x:v>
      </x:c>
      <x:c r="C117" s="17" t="str">
        <x:v>Causal progression</x:v>
      </x:c>
      <x:c r="D117" s="20" t="str">
        <x:v>Kip: Override rank2.after</x:v>
      </x:c>
      <x:c r="E117" s="20" t="str">
        <x:v>Override rank2</x:v>
      </x:c>
      <x:c r="F117" s="20" t="str">
        <x:v>Author plan</x:v>
      </x:c>
    </x:row>
    <x:row r="118" ht="28" customHeight="1">
      <x:c r="A118" s="2" t="str">
        <x:v>F111</x:v>
      </x:c>
      <x:c r="B118" s="50" t="n">
        <x:v>8</x:v>
      </x:c>
      <x:c r="C118" s="2" t="str">
        <x:v>Causal progression</x:v>
      </x:c>
      <x:c r="D118" s="19" t="str">
        <x:v>Kip: Override rank2.demonstration</x:v>
      </x:c>
      <x:c r="E118" s="19" t="str">
        <x:v>second already-inspected fixture used at14m</x:v>
      </x:c>
      <x:c r="F118" s="19" t="str">
        <x:v>Author plan</x:v>
      </x:c>
    </x:row>
    <x:row r="119" ht="28" customHeight="1">
      <x:c r="A119" s="17" t="str">
        <x:v>F112</x:v>
      </x:c>
      <x:c r="B119" s="51" t="n">
        <x:v>8</x:v>
      </x:c>
      <x:c r="C119" s="17" t="str">
        <x:v>Causal progression</x:v>
      </x:c>
      <x:c r="D119" s="20" t="str">
        <x:v>Kip: Override rank2.remaining_limit</x:v>
      </x:c>
      <x:c r="E119" s="20" t="str">
        <x:v>Sight remains10m, cost10, one active, normal reset</x:v>
      </x:c>
      <x:c r="F119" s="20" t="str">
        <x:v>Author plan</x:v>
      </x:c>
    </x:row>
    <x:row r="120" ht="28" customHeight="1">
      <x:c r="A120" s="2" t="str">
        <x:v>F113</x:v>
      </x:c>
      <x:c r="B120" s="50" t="n">
        <x:v>8</x:v>
      </x:c>
      <x:c r="C120" s="2" t="str">
        <x:v>Causal progression</x:v>
      </x:c>
      <x:c r="D120" s="19" t="str">
        <x:v>Kip: Override rank2.next_dependency</x:v>
      </x:c>
      <x:c r="E120" s="19" t="str">
        <x:v>archive approach</x:v>
      </x:c>
      <x:c r="F120" s="19" t="str">
        <x:v>Author plan</x:v>
      </x:c>
    </x:row>
    <x:row r="121" ht="28" customHeight="1">
      <x:c r="A121" s="17" t="str">
        <x:v>F114</x:v>
      </x:c>
      <x:c r="B121" s="51" t="n">
        <x:v>10</x:v>
      </x:c>
      <x:c r="C121" s="17" t="str">
        <x:v>Causal progression</x:v>
      </x:c>
      <x:c r="D121" s="20" t="str">
        <x:v>Kip: Claim Room rank2.source_scene</x:v>
      </x:c>
      <x:c r="E121" s="20" t="str">
        <x:v>chapter-10</x:v>
      </x:c>
      <x:c r="F121" s="20" t="str">
        <x:v>Author plan</x:v>
      </x:c>
    </x:row>
    <x:row r="122" ht="28" customHeight="1">
      <x:c r="A122" s="2" t="str">
        <x:v>F115</x:v>
      </x:c>
      <x:c r="B122" s="50" t="n">
        <x:v>10</x:v>
      </x:c>
      <x:c r="C122" s="2" t="str">
        <x:v>Causal progression</x:v>
      </x:c>
      <x:c r="D122" s="19" t="str">
        <x:v>Kip: Claim Room rank2.kind</x:v>
      </x:c>
      <x:c r="E122" s="19" t="str">
        <x:v>rank</x:v>
      </x:c>
      <x:c r="F122" s="19" t="str">
        <x:v>Author plan</x:v>
      </x:c>
    </x:row>
    <x:row r="123" ht="28" customHeight="1">
      <x:c r="A123" s="17" t="str">
        <x:v>F116</x:v>
      </x:c>
      <x:c r="B123" s="51" t="n">
        <x:v>10</x:v>
      </x:c>
      <x:c r="C123" s="17" t="str">
        <x:v>Causal progression</x:v>
      </x:c>
      <x:c r="D123" s="20" t="str">
        <x:v>Kip: Claim Room rank2.rule_id</x:v>
      </x:c>
      <x:c r="E123" s="20" t="str">
        <x:v>Claim Room rank2</x:v>
      </x:c>
      <x:c r="F123" s="20" t="str">
        <x:v>Author plan</x:v>
      </x:c>
    </x:row>
    <x:row r="124" ht="28" customHeight="1">
      <x:c r="A124" s="2" t="str">
        <x:v>F117</x:v>
      </x:c>
      <x:c r="B124" s="50" t="n">
        <x:v>10</x:v>
      </x:c>
      <x:c r="C124" s="2" t="str">
        <x:v>Causal progression</x:v>
      </x:c>
      <x:c r="D124" s="19" t="str">
        <x:v>Kip: Claim Room rank2.before</x:v>
      </x:c>
      <x:c r="E124" s="19" t="str">
        <x:v>capacity1, L6,120min focused practice</x:v>
      </x:c>
      <x:c r="F124" s="19" t="str">
        <x:v>Author plan</x:v>
      </x:c>
    </x:row>
    <x:row r="125" ht="28" customHeight="1">
      <x:c r="A125" s="17" t="str">
        <x:v>F118</x:v>
      </x:c>
      <x:c r="B125" s="51" t="n">
        <x:v>10</x:v>
      </x:c>
      <x:c r="C125" s="17" t="str">
        <x:v>Causal progression</x:v>
      </x:c>
      <x:c r="D125" s="20" t="str">
        <x:v>Kip: Claim Room rank2.event_or_choice</x:v>
      </x:c>
      <x:c r="E125" s="20" t="str">
        <x:v>valid30sec claim while allies defend outside threshold</x:v>
      </x:c>
      <x:c r="F125" s="20" t="str">
        <x:v>Author plan</x:v>
      </x:c>
    </x:row>
    <x:row r="126" ht="32" customHeight="1">
      <x:c r="A126" s="2" t="str">
        <x:v>F119</x:v>
      </x:c>
      <x:c r="B126" s="50" t="n">
        <x:v>10</x:v>
      </x:c>
      <x:c r="C126" s="2" t="str">
        <x:v>Causal progression</x:v>
      </x:c>
      <x:c r="D126" s="19" t="str">
        <x:v>Kip: Claim Room rank2.cost_or_requirement</x:v>
      </x:c>
      <x:c r="E126" s="19" t="str">
        <x:v>20Mana, no hostile entry</x:v>
      </x:c>
      <x:c r="F126" s="19" t="str">
        <x:v>Author plan</x:v>
      </x:c>
    </x:row>
    <x:row r="127" ht="28" customHeight="1">
      <x:c r="A127" s="17" t="str">
        <x:v>F120</x:v>
      </x:c>
      <x:c r="B127" s="51" t="n">
        <x:v>10</x:v>
      </x:c>
      <x:c r="C127" s="17" t="str">
        <x:v>Causal progression</x:v>
      </x:c>
      <x:c r="D127" s="20" t="str">
        <x:v>Kip: Claim Room rank2.gain</x:v>
      </x:c>
      <x:c r="E127" s="20" t="str">
        <x:v>capacity2 only</x:v>
      </x:c>
      <x:c r="F127" s="20" t="str">
        <x:v>Author plan</x:v>
      </x:c>
    </x:row>
    <x:row r="128" ht="28" customHeight="1">
      <x:c r="A128" s="2" t="str">
        <x:v>F121</x:v>
      </x:c>
      <x:c r="B128" s="50" t="n">
        <x:v>10</x:v>
      </x:c>
      <x:c r="C128" s="2" t="str">
        <x:v>Causal progression</x:v>
      </x:c>
      <x:c r="D128" s="19" t="str">
        <x:v>Kip: Claim Room rank2.after</x:v>
      </x:c>
      <x:c r="E128" s="19" t="str">
        <x:v>archive sole current claim, second slot empty</x:v>
      </x:c>
      <x:c r="F128" s="19" t="str">
        <x:v>Author plan</x:v>
      </x:c>
    </x:row>
    <x:row r="129" ht="28" customHeight="1">
      <x:c r="A129" s="17" t="str">
        <x:v>F122</x:v>
      </x:c>
      <x:c r="B129" s="51" t="n">
        <x:v>10</x:v>
      </x:c>
      <x:c r="C129" s="17" t="str">
        <x:v>Causal progression</x:v>
      </x:c>
      <x:c r="D129" s="20" t="str">
        <x:v>Kip: Claim Room rank2.demonstration</x:v>
      </x:c>
      <x:c r="E129" s="20" t="str">
        <x:v>second separate paid claim in chapter11</x:v>
      </x:c>
      <x:c r="F129" s="20" t="str">
        <x:v>Author plan</x:v>
      </x:c>
    </x:row>
    <x:row r="130" ht="28" customHeight="1">
      <x:c r="A130" s="2" t="str">
        <x:v>F123</x:v>
      </x:c>
      <x:c r="B130" s="50" t="n">
        <x:v>10</x:v>
      </x:c>
      <x:c r="C130" s="2" t="str">
        <x:v>Causal progression</x:v>
      </x:c>
      <x:c r="D130" s="19" t="str">
        <x:v>Kip: Claim Room rank2.remaining_limit</x:v>
      </x:c>
      <x:c r="E130" s="19" t="str">
        <x:v>no free room, teleport, healing or hostile barrier</x:v>
      </x:c>
      <x:c r="F130" s="19" t="str">
        <x:v>Author plan</x:v>
      </x:c>
    </x:row>
    <x:row r="131" ht="28" customHeight="1">
      <x:c r="A131" s="17" t="str">
        <x:v>F124</x:v>
      </x:c>
      <x:c r="B131" s="51" t="n">
        <x:v>10</x:v>
      </x:c>
      <x:c r="C131" s="17" t="str">
        <x:v>Causal progression</x:v>
      </x:c>
      <x:c r="D131" s="20" t="str">
        <x:v>Kip: Claim Room rank2.next_dependency</x:v>
      </x:c>
      <x:c r="E131" s="20" t="str">
        <x:v>two refuges physically maintained</x:v>
      </x:c>
      <x:c r="F131" s="20" t="str">
        <x:v>Author plan</x:v>
      </x:c>
    </x:row>
    <x:row r="132" ht="28" customHeight="1">
      <x:c r="A132" s="2" t="str">
        <x:v>F125</x:v>
      </x:c>
      <x:c r="B132" s="50" t="n">
        <x:v>17</x:v>
      </x:c>
      <x:c r="C132" s="2" t="str">
        <x:v>Causal progression</x:v>
      </x:c>
      <x:c r="D132" s="19" t="str">
        <x:v>Kip: Sovereign Ward rank2.source_scene</x:v>
      </x:c>
      <x:c r="E132" s="19" t="str">
        <x:v>chapter-17</x:v>
      </x:c>
      <x:c r="F132" s="19" t="str">
        <x:v>Author plan</x:v>
      </x:c>
    </x:row>
    <x:row r="133" ht="28" customHeight="1">
      <x:c r="A133" s="17" t="str">
        <x:v>F126</x:v>
      </x:c>
      <x:c r="B133" s="51" t="n">
        <x:v>17</x:v>
      </x:c>
      <x:c r="C133" s="17" t="str">
        <x:v>Causal progression</x:v>
      </x:c>
      <x:c r="D133" s="20" t="str">
        <x:v>Kip: Sovereign Ward rank2.kind</x:v>
      </x:c>
      <x:c r="E133" s="20" t="str">
        <x:v>rank</x:v>
      </x:c>
      <x:c r="F133" s="20" t="str">
        <x:v>Author plan</x:v>
      </x:c>
    </x:row>
    <x:row r="134" ht="28" customHeight="1">
      <x:c r="A134" s="2" t="str">
        <x:v>F127</x:v>
      </x:c>
      <x:c r="B134" s="50" t="n">
        <x:v>17</x:v>
      </x:c>
      <x:c r="C134" s="2" t="str">
        <x:v>Causal progression</x:v>
      </x:c>
      <x:c r="D134" s="19" t="str">
        <x:v>Kip: Sovereign Ward rank2.rule_id</x:v>
      </x:c>
      <x:c r="E134" s="19" t="str">
        <x:v>Sovereign Ward rank2</x:v>
      </x:c>
      <x:c r="F134" s="19" t="str">
        <x:v>Author plan</x:v>
      </x:c>
    </x:row>
    <x:row r="135" ht="28" customHeight="1">
      <x:c r="A135" s="17" t="str">
        <x:v>F128</x:v>
      </x:c>
      <x:c r="B135" s="51" t="n">
        <x:v>17</x:v>
      </x:c>
      <x:c r="C135" s="17" t="str">
        <x:v>Causal progression</x:v>
      </x:c>
      <x:c r="D135" s="20" t="str">
        <x:v>Kip: Sovereign Ward rank2.before</x:v>
      </x:c>
      <x:c r="E135" s="20" t="str">
        <x:v>lifetime10sec,120min focused practice</x:v>
      </x:c>
      <x:c r="F135" s="20" t="str">
        <x:v>Author plan</x:v>
      </x:c>
    </x:row>
    <x:row r="136" ht="32" customHeight="1">
      <x:c r="A136" s="2" t="str">
        <x:v>F129</x:v>
      </x:c>
      <x:c r="B136" s="50" t="n">
        <x:v>17</x:v>
      </x:c>
      <x:c r="C136" s="2" t="str">
        <x:v>Causal progression</x:v>
      </x:c>
      <x:c r="D136" s="19" t="str">
        <x:v>Kip: Sovereign Ward rank2.event_or_choice</x:v>
      </x:c>
      <x:c r="E136" s="19" t="str">
        <x:v>old version faces feint and catches real physical impact</x:v>
      </x:c>
      <x:c r="F136" s="19" t="str">
        <x:v>Author plan</x:v>
      </x:c>
    </x:row>
    <x:row r="137" ht="32" customHeight="1">
      <x:c r="A137" s="17" t="str">
        <x:v>F130</x:v>
      </x:c>
      <x:c r="B137" s="51" t="n">
        <x:v>17</x:v>
      </x:c>
      <x:c r="C137" s="17" t="str">
        <x:v>Causal progression</x:v>
      </x:c>
      <x:c r="D137" s="20" t="str">
        <x:v>Kip: Sovereign Ward rank2.cost_or_requirement</x:v>
      </x:c>
      <x:c r="E137" s="20" t="str">
        <x:v>15Mana,2sec setup, valid old-version timing</x:v>
      </x:c>
      <x:c r="F137" s="20" t="str">
        <x:v>Author plan</x:v>
      </x:c>
    </x:row>
    <x:row r="138" ht="28" customHeight="1">
      <x:c r="A138" s="2" t="str">
        <x:v>F131</x:v>
      </x:c>
      <x:c r="B138" s="50" t="n">
        <x:v>17</x:v>
      </x:c>
      <x:c r="C138" s="2" t="str">
        <x:v>Causal progression</x:v>
      </x:c>
      <x:c r="D138" s="19" t="str">
        <x:v>Kip: Sovereign Ward rank2.gain</x:v>
      </x:c>
      <x:c r="E138" s="19" t="str">
        <x:v>lifetime20sec only</x:v>
      </x:c>
      <x:c r="F138" s="19" t="str">
        <x:v>Author plan</x:v>
      </x:c>
    </x:row>
    <x:row r="139" ht="28" customHeight="1">
      <x:c r="A139" s="17" t="str">
        <x:v>F132</x:v>
      </x:c>
      <x:c r="B139" s="51" t="n">
        <x:v>17</x:v>
      </x:c>
      <x:c r="C139" s="17" t="str">
        <x:v>Causal progression</x:v>
      </x:c>
      <x:c r="D139" s="20" t="str">
        <x:v>Kip: Sovereign Ward rank2.after</x:v>
      </x:c>
      <x:c r="E139" s="20" t="str">
        <x:v>rank2, one impact half force</x:v>
      </x:c>
      <x:c r="F139" s="20" t="str">
        <x:v>Author plan</x:v>
      </x:c>
    </x:row>
    <x:row r="140" ht="32" customHeight="1">
      <x:c r="A140" s="2" t="str">
        <x:v>F133</x:v>
      </x:c>
      <x:c r="B140" s="50" t="n">
        <x:v>17</x:v>
      </x:c>
      <x:c r="C140" s="2" t="str">
        <x:v>Causal progression</x:v>
      </x:c>
      <x:c r="D140" s="19" t="str">
        <x:v>Kip: Sovereign Ward rank2.demonstration</x:v>
      </x:c>
      <x:c r="E140" s="19" t="str">
        <x:v>later boss hit after old lifetime would have expired</x:v>
      </x:c>
      <x:c r="F140" s="19" t="str">
        <x:v>Author plan</x:v>
      </x:c>
    </x:row>
    <x:row r="141" ht="32" customHeight="1">
      <x:c r="A141" s="17" t="str">
        <x:v>F134</x:v>
      </x:c>
      <x:c r="B141" s="51" t="n">
        <x:v>17</x:v>
      </x:c>
      <x:c r="C141" s="17" t="str">
        <x:v>Causal progression</x:v>
      </x:c>
      <x:c r="D141" s="20" t="str">
        <x:v>Kip: Sovereign Ward rank2.remaining_limit</x:v>
      </x:c>
      <x:c r="E141" s="20" t="str">
        <x:v>no roof, rear protection, healing or invulnerability</x:v>
      </x:c>
      <x:c r="F141" s="20" t="str">
        <x:v>Author plan</x:v>
      </x:c>
    </x:row>
    <x:row r="142" ht="32" customHeight="1">
      <x:c r="A142" s="2" t="str">
        <x:v>F135</x:v>
      </x:c>
      <x:c r="B142" s="50" t="n">
        <x:v>17</x:v>
      </x:c>
      <x:c r="C142" s="2" t="str">
        <x:v>Causal progression</x:v>
      </x:c>
      <x:c r="D142" s="19" t="str">
        <x:v>Kip: Sovereign Ward rank2.next_dependency</x:v>
      </x:c>
      <x:c r="E142" s="19" t="str">
        <x:v>final approach and boss defense</x:v>
      </x:c>
      <x:c r="F142" s="19" t="str">
        <x:v>Author plan</x:v>
      </x:c>
    </x:row>
    <x:row r="143" ht="28" customHeight="1">
      <x:c r="A143" s="17" t="str">
        <x:v>F136</x:v>
      </x:c>
      <x:c r="B143" s="51" t="n">
        <x:v>19</x:v>
      </x:c>
      <x:c r="C143" s="17" t="str">
        <x:v>Causal progression</x:v>
      </x:c>
      <x:c r="D143" s="20" t="str">
        <x:v>Kip: XP reset.source_scene</x:v>
      </x:c>
      <x:c r="E143" s="20" t="str">
        <x:v>chapter-19</x:v>
      </x:c>
      <x:c r="F143" s="20" t="str">
        <x:v>Author plan</x:v>
      </x:c>
    </x:row>
    <x:row r="144" ht="28" customHeight="1">
      <x:c r="A144" s="2" t="str">
        <x:v>F137</x:v>
      </x:c>
      <x:c r="B144" s="50" t="n">
        <x:v>19</x:v>
      </x:c>
      <x:c r="C144" s="2" t="str">
        <x:v>Causal progression</x:v>
      </x:c>
      <x:c r="D144" s="19" t="str">
        <x:v>Kip: XP reset.kind</x:v>
      </x:c>
      <x:c r="E144" s="19" t="str">
        <x:v>level and victory</x:v>
      </x:c>
      <x:c r="F144" s="19" t="str">
        <x:v>Author plan</x:v>
      </x:c>
    </x:row>
    <x:row r="145" ht="28" customHeight="1">
      <x:c r="A145" s="17" t="str">
        <x:v>F138</x:v>
      </x:c>
      <x:c r="B145" s="51" t="n">
        <x:v>19</x:v>
      </x:c>
      <x:c r="C145" s="17" t="str">
        <x:v>Causal progression</x:v>
      </x:c>
      <x:c r="D145" s="20" t="str">
        <x:v>Kip: XP reset.rule_id</x:v>
      </x:c>
      <x:c r="E145" s="20" t="str">
        <x:v>XP reset</x:v>
      </x:c>
      <x:c r="F145" s="20" t="str">
        <x:v>Author plan</x:v>
      </x:c>
    </x:row>
    <x:row r="146" ht="28" customHeight="1">
      <x:c r="A146" s="2" t="str">
        <x:v>F139</x:v>
      </x:c>
      <x:c r="B146" s="50" t="n">
        <x:v>19</x:v>
      </x:c>
      <x:c r="C146" s="2" t="str">
        <x:v>Causal progression</x:v>
      </x:c>
      <x:c r="D146" s="19" t="str">
        <x:v>Kip: XP reset.before</x:v>
      </x:c>
      <x:c r="E146" s="19" t="str">
        <x:v>L8 bar500/800 Mana75/75</x:v>
      </x:c>
      <x:c r="F146" s="19" t="str">
        <x:v>Author plan</x:v>
      </x:c>
    </x:row>
    <x:row r="147" ht="28" customHeight="1">
      <x:c r="A147" s="17" t="str">
        <x:v>F140</x:v>
      </x:c>
      <x:c r="B147" s="51" t="n">
        <x:v>19</x:v>
      </x:c>
      <x:c r="C147" s="17" t="str">
        <x:v>Causal progression</x:v>
      </x:c>
      <x:c r="D147" s="20" t="str">
        <x:v>Kip: XP reset.event_or_choice</x:v>
      </x:c>
      <x:c r="E147" s="20" t="str">
        <x:v>defeat Ravel and stop dangerous apparatus</x:v>
      </x:c>
      <x:c r="F147" s="20" t="str">
        <x:v>Author plan</x:v>
      </x:c>
    </x:row>
    <x:row r="148" ht="28" customHeight="1">
      <x:c r="A148" s="2" t="str">
        <x:v>F141</x:v>
      </x:c>
      <x:c r="B148" s="50" t="n">
        <x:v>19</x:v>
      </x:c>
      <x:c r="C148" s="2" t="str">
        <x:v>Causal progression</x:v>
      </x:c>
      <x:c r="D148" s="19" t="str">
        <x:v>Kip: XP reset.cost_or_requirement</x:v>
      </x:c>
      <x:c r="E148" s="19" t="str">
        <x:v>3Overrides+2Wards=60Mana</x:v>
      </x:c>
      <x:c r="F148" s="19" t="str">
        <x:v>Author plan</x:v>
      </x:c>
    </x:row>
    <x:row r="149" ht="28" customHeight="1">
      <x:c r="A149" s="17" t="str">
        <x:v>F142</x:v>
      </x:c>
      <x:c r="B149" s="51" t="n">
        <x:v>19</x:v>
      </x:c>
      <x:c r="C149" s="17" t="str">
        <x:v>Causal progression</x:v>
      </x:c>
      <x:c r="D149" s="20" t="str">
        <x:v>Kip: XP reset.gain</x:v>
      </x:c>
      <x:c r="E149" s="20" t="str">
        <x:v>300XP and earned local victory</x:v>
      </x:c>
      <x:c r="F149" s="20" t="str">
        <x:v>Author plan</x:v>
      </x:c>
    </x:row>
    <x:row r="150" ht="28" customHeight="1">
      <x:c r="A150" s="2" t="str">
        <x:v>F143</x:v>
      </x:c>
      <x:c r="B150" s="50" t="n">
        <x:v>19</x:v>
      </x:c>
      <x:c r="C150" s="2" t="str">
        <x:v>Causal progression</x:v>
      </x:c>
      <x:c r="D150" s="19" t="str">
        <x:v>Kip: XP reset.after</x:v>
      </x:c>
      <x:c r="E150" s="19" t="str">
        <x:v>L9 bar0/900 Mana15/80</x:v>
      </x:c>
      <x:c r="F150" s="19" t="str">
        <x:v>Author plan</x:v>
      </x:c>
    </x:row>
    <x:row r="151" ht="28" customHeight="1">
      <x:c r="A151" s="17" t="str">
        <x:v>F144</x:v>
      </x:c>
      <x:c r="B151" s="51" t="n">
        <x:v>19</x:v>
      </x:c>
      <x:c r="C151" s="17" t="str">
        <x:v>Causal progression</x:v>
      </x:c>
      <x:c r="D151" s="20" t="str">
        <x:v>Kip: XP reset.demonstration</x:v>
      </x:c>
      <x:c r="E151" s="20" t="str">
        <x:v>maximum increases but current stays15</x:v>
      </x:c>
      <x:c r="F151" s="20" t="str">
        <x:v>Author plan</x:v>
      </x:c>
    </x:row>
    <x:row r="152" ht="28" customHeight="1">
      <x:c r="A152" s="2" t="str">
        <x:v>F145</x:v>
      </x:c>
      <x:c r="B152" s="50" t="n">
        <x:v>19</x:v>
      </x:c>
      <x:c r="C152" s="2" t="str">
        <x:v>Causal progression</x:v>
      </x:c>
      <x:c r="D152" s="19" t="str">
        <x:v>Kip: XP reset.remaining_limit</x:v>
      </x:c>
      <x:c r="E152" s="19" t="str">
        <x:v>core alive; no whole-dungeon claim; gate still shut</x:v>
      </x:c>
      <x:c r="F152" s="19" t="str">
        <x:v>Author plan</x:v>
      </x:c>
    </x:row>
    <x:row r="153" ht="28" customHeight="1">
      <x:c r="A153" s="17" t="str">
        <x:v>F146</x:v>
      </x:c>
      <x:c r="B153" s="51" t="n">
        <x:v>19</x:v>
      </x:c>
      <x:c r="C153" s="17" t="str">
        <x:v>Causal progression</x:v>
      </x:c>
      <x:c r="D153" s="20" t="str">
        <x:v>Kip: XP reset.next_dependency</x:v>
      </x:c>
      <x:c r="E153" s="20" t="str">
        <x:v>real gate evacuation</x:v>
      </x:c>
      <x:c r="F153" s="20" t="str">
        <x:v>Author plan</x:v>
      </x:c>
    </x:row>
    <x:row r="154" ht="32" customHeight="1">
      <x:c r="A154" s="2" t="str">
        <x:v>F147</x:v>
      </x:c>
      <x:c r="B154" s="50" t="n">
        <x:v>20</x:v>
      </x:c>
      <x:c r="C154" s="2" t="str">
        <x:v>Causal progression</x:v>
      </x:c>
      <x:c r="D154" s="19" t="str">
        <x:v>Kip: recorded source stone.source_scene</x:v>
      </x:c>
      <x:c r="E154" s="19" t="str">
        <x:v>chapter-20</x:v>
      </x:c>
      <x:c r="F154" s="19" t="str">
        <x:v>Author plan</x:v>
      </x:c>
    </x:row>
    <x:row r="155" ht="28" customHeight="1">
      <x:c r="A155" s="17" t="str">
        <x:v>F148</x:v>
      </x:c>
      <x:c r="B155" s="51" t="n">
        <x:v>20</x:v>
      </x:c>
      <x:c r="C155" s="17" t="str">
        <x:v>Causal progression</x:v>
      </x:c>
      <x:c r="D155" s="20" t="str">
        <x:v>Kip: recorded source stone.kind</x:v>
      </x:c>
      <x:c r="E155" s="20" t="str">
        <x:v>knowledge and freedom</x:v>
      </x:c>
      <x:c r="F155" s="20" t="str">
        <x:v>Author plan</x:v>
      </x:c>
    </x:row>
    <x:row r="156" ht="28" customHeight="1">
      <x:c r="A156" s="2" t="str">
        <x:v>F149</x:v>
      </x:c>
      <x:c r="B156" s="50" t="n">
        <x:v>20</x:v>
      </x:c>
      <x:c r="C156" s="2" t="str">
        <x:v>Causal progression</x:v>
      </x:c>
      <x:c r="D156" s="19" t="str">
        <x:v>Kip: recorded source stone.rule_id</x:v>
      </x:c>
      <x:c r="E156" s="19" t="str">
        <x:v>recorded source stone</x:v>
      </x:c>
      <x:c r="F156" s="19" t="str">
        <x:v>Author plan</x:v>
      </x:c>
    </x:row>
    <x:row r="157" ht="28" customHeight="1">
      <x:c r="A157" s="17" t="str">
        <x:v>F150</x:v>
      </x:c>
      <x:c r="B157" s="51" t="n">
        <x:v>20</x:v>
      </x:c>
      <x:c r="C157" s="17" t="str">
        <x:v>Causal progression</x:v>
      </x:c>
      <x:c r="D157" s="20" t="str">
        <x:v>Kip: recorded source stone.before</x:v>
      </x:c>
      <x:c r="E157" s="20" t="str">
        <x:v>master defeated, gate shut</x:v>
      </x:c>
      <x:c r="F157" s="20" t="str">
        <x:v>Author plan</x:v>
      </x:c>
    </x:row>
    <x:row r="158" ht="32" customHeight="1">
      <x:c r="A158" s="2" t="str">
        <x:v>F151</x:v>
      </x:c>
      <x:c r="B158" s="50" t="n">
        <x:v>20</x:v>
      </x:c>
      <x:c r="C158" s="2" t="str">
        <x:v>Causal progression</x:v>
      </x:c>
      <x:c r="D158" s="19" t="str">
        <x:v>Kip: recorded source stone.event_or_choice</x:v>
      </x:c>
      <x:c r="E158" s="19" t="str">
        <x:v>team opens physical exit and gets all9 outside</x:v>
      </x:c>
      <x:c r="F158" s="19" t="str">
        <x:v>Author plan</x:v>
      </x:c>
    </x:row>
    <x:row r="159" ht="32" customHeight="1">
      <x:c r="A159" s="17" t="str">
        <x:v>F152</x:v>
      </x:c>
      <x:c r="B159" s="51" t="n">
        <x:v>20</x:v>
      </x:c>
      <x:c r="C159" s="17" t="str">
        <x:v>Causal progression</x:v>
      </x:c>
      <x:c r="D159" s="20" t="str">
        <x:v>Kip: recorded source stone.cost_or_requirement</x:v>
      </x:c>
      <x:c r="E159" s="20" t="str">
        <x:v>real rest; final Override10; carrying and rigging</x:v>
      </x:c>
      <x:c r="F159" s="20" t="str">
        <x:v>Author plan</x:v>
      </x:c>
    </x:row>
    <x:row r="160" ht="28" customHeight="1">
      <x:c r="A160" s="2" t="str">
        <x:v>F153</x:v>
      </x:c>
      <x:c r="B160" s="50" t="n">
        <x:v>20</x:v>
      </x:c>
      <x:c r="C160" s="2" t="str">
        <x:v>Causal progression</x:v>
      </x:c>
      <x:c r="D160" s="19" t="str">
        <x:v>Kip: recorded source stone.gain</x:v>
      </x:c>
      <x:c r="E160" s="19" t="str">
        <x:v>100XP; open sky; stored origin-route clue</x:v>
      </x:c>
      <x:c r="F160" s="19" t="str">
        <x:v>Author plan</x:v>
      </x:c>
    </x:row>
    <x:row r="161" ht="28" customHeight="1">
      <x:c r="A161" s="17" t="str">
        <x:v>F154</x:v>
      </x:c>
      <x:c r="B161" s="51" t="n">
        <x:v>20</x:v>
      </x:c>
      <x:c r="C161" s="17" t="str">
        <x:v>Causal progression</x:v>
      </x:c>
      <x:c r="D161" s="20" t="str">
        <x:v>Kip: recorded source stone.after</x:v>
      </x:c>
      <x:c r="E161" s="20" t="str">
        <x:v>L9 bar100/900 Mana70/80</x:v>
      </x:c>
      <x:c r="F161" s="20" t="str">
        <x:v>Author plan</x:v>
      </x:c>
    </x:row>
    <x:row r="162" ht="32" customHeight="1">
      <x:c r="A162" s="2" t="str">
        <x:v>F155</x:v>
      </x:c>
      <x:c r="B162" s="50" t="n">
        <x:v>20</x:v>
      </x:c>
      <x:c r="C162" s="2" t="str">
        <x:v>Causal progression</x:v>
      </x:c>
      <x:c r="D162" s="19" t="str">
        <x:v>Kip: recorded source stone.demonstration</x:v>
      </x:c>
      <x:c r="E162" s="19" t="str">
        <x:v>recording viewed after earned escape</x:v>
      </x:c>
      <x:c r="F162" s="19" t="str">
        <x:v>Author plan</x:v>
      </x:c>
    </x:row>
    <x:row r="163" ht="32" customHeight="1">
      <x:c r="A163" s="17" t="str">
        <x:v>F156</x:v>
      </x:c>
      <x:c r="B163" s="51" t="n">
        <x:v>20</x:v>
      </x:c>
      <x:c r="C163" s="17" t="str">
        <x:v>Causal progression</x:v>
      </x:c>
      <x:c r="D163" s="20" t="str">
        <x:v>Kip: recorded source stone.remaining_limit</x:v>
      </x:c>
      <x:c r="E163" s="20" t="str">
        <x:v>no live Noah, instant portal or solved return</x:v>
      </x:c>
      <x:c r="F163" s="20" t="str">
        <x:v>Author plan</x:v>
      </x:c>
    </x:row>
    <x:row r="164" ht="32" customHeight="1">
      <x:c r="A164" s="2" t="str">
        <x:v>F157</x:v>
      </x:c>
      <x:c r="B164" s="50" t="n">
        <x:v>20</x:v>
      </x:c>
      <x:c r="C164" s="2" t="str">
        <x:v>Causal progression</x:v>
      </x:c>
      <x:c r="D164" s="19" t="str">
        <x:v>Kip: recorded source stone.next_dependency</x:v>
      </x:c>
      <x:c r="E164" s="19" t="str">
        <x:v>next book informed choice</x:v>
      </x:c>
      <x:c r="F164" s="19" t="str">
        <x:v>Author plan</x:v>
      </x:c>
    </x:row>
    <x:row r="165" ht="28" customHeight="1">
      <x:c r="A165" s="17" t="str">
        <x:v>F158</x:v>
      </x:c>
      <x:c r="B165" s="51" t="n">
        <x:v>1</x:v>
      </x:c>
      <x:c r="C165" s="17" t="str">
        <x:v>Injury</x:v>
      </x:c>
      <x:c r="D165" s="20" t="str">
        <x:v>Carry forward</x:v>
      </x:c>
      <x:c r="E165" s="20" t="str">
        <x:v>Jory: splinted lower-leg fracture; earlier 12cm/0.5cm leg cut is closed; no walking recovery.</x:v>
      </x:c>
      <x:c r="F165" s="20" t="str">
        <x:v>Planned</x:v>
      </x:c>
    </x:row>
    <x:row r="166" ht="28" customHeight="1">
      <x:c r="A166" s="2" t="str">
        <x:v>F159</x:v>
      </x:c>
      <x:c r="B166" s="50" t="n">
        <x:v>1</x:v>
      </x:c>
      <x:c r="C166" s="2" t="str">
        <x:v>Injury</x:v>
      </x:c>
      <x:c r="D166" s="19" t="str">
        <x:v>Carry forward</x:v>
      </x:c>
      <x:c r="E166" s="19" t="str">
        <x:v>Kip: forearm cut closed by Owen; pain/fatigue remain.</x:v>
      </x:c>
      <x:c r="F166" s="19" t="str">
        <x:v>Planned</x:v>
      </x:c>
    </x:row>
    <x:row r="167" ht="28" customHeight="1">
      <x:c r="A167" s="17" t="str">
        <x:v>F160</x:v>
      </x:c>
      <x:c r="B167" s="51" t="n">
        <x:v>1</x:v>
      </x:c>
      <x:c r="C167" s="17" t="str">
        <x:v>Constraint</x:v>
      </x:c>
      <x:c r="D167" s="20" t="str">
        <x:v>Constraint 1</x:v>
      </x:c>
      <x:c r="E167" s="20" t="str">
        <x:v>No Mana recovery anywhere in the ongoing pursuit.</x:v>
      </x:c>
      <x:c r="F167" s="20" t="str">
        <x:v>Planned</x:v>
      </x:c>
    </x:row>
    <x:row r="168" ht="28" customHeight="1">
      <x:c r="A168" s="2" t="str">
        <x:v>F161</x:v>
      </x:c>
      <x:c r="B168" s="50" t="n">
        <x:v>1</x:v>
      </x:c>
      <x:c r="C168" s="2" t="str">
        <x:v>Constraint</x:v>
      </x:c>
      <x:c r="D168" s="19" t="str">
        <x:v>Constraint 2</x:v>
      </x:c>
      <x:c r="E168" s="19" t="str">
        <x:v>Dane/Owen/Tessa previous cooldowns expired before these new uses.</x:v>
      </x:c>
      <x:c r="F168" s="19" t="str">
        <x:v>Planned</x:v>
      </x:c>
    </x:row>
    <x:row r="169" ht="28" customHeight="1">
      <x:c r="A169" s="17" t="str">
        <x:v>F162</x:v>
      </x:c>
      <x:c r="B169" s="51" t="n">
        <x:v>2</x:v>
      </x:c>
      <x:c r="C169" s="17" t="str">
        <x:v>Constraint</x:v>
      </x:c>
      <x:c r="D169" s="20" t="str">
        <x:v>Constraint 1</x:v>
      </x:c>
      <x:c r="E169" s="20" t="str">
        <x:v>No XP for the claim or harmless test.</x:v>
      </x:c>
      <x:c r="F169" s="20" t="str">
        <x:v>Planned</x:v>
      </x:c>
    </x:row>
    <x:row r="170" ht="28" customHeight="1">
      <x:c r="A170" s="2" t="str">
        <x:v>F163</x:v>
      </x:c>
      <x:c r="B170" s="50" t="n">
        <x:v>2</x:v>
      </x:c>
      <x:c r="C170" s="2" t="str">
        <x:v>Constraint</x:v>
      </x:c>
      <x:c r="D170" s="19" t="str">
        <x:v>Constraint 2</x:v>
      </x:c>
      <x:c r="E170" s="19" t="str">
        <x:v>Claim alerts Ravel to room A loss, not private identity or rarity.</x:v>
      </x:c>
      <x:c r="F170" s="19" t="str">
        <x:v>Planned</x:v>
      </x:c>
    </x:row>
    <x:row r="171" ht="28" customHeight="1">
      <x:c r="A171" s="17" t="str">
        <x:v>F164</x:v>
      </x:c>
      <x:c r="B171" s="51" t="n">
        <x:v>2</x:v>
      </x:c>
      <x:c r="C171" s="17" t="str">
        <x:v>Constraint</x:v>
      </x:c>
      <x:c r="D171" s="20" t="str">
        <x:v>Constraint 3</x:v>
      </x:c>
      <x:c r="E171" s="20" t="str">
        <x:v>Food/water from expedition carry stores; no created supplies.</x:v>
      </x:c>
      <x:c r="F171" s="20" t="str">
        <x:v>Planned</x:v>
      </x:c>
    </x:row>
    <x:row r="172" ht="28" customHeight="1">
      <x:c r="A172" s="2" t="str">
        <x:v>F165</x:v>
      </x:c>
      <x:c r="B172" s="50" t="n">
        <x:v>3</x:v>
      </x:c>
      <x:c r="C172" s="2" t="str">
        <x:v>Injury</x:v>
      </x:c>
      <x:c r="D172" s="19" t="str">
        <x:v>Carry forward</x:v>
      </x:c>
      <x:c r="E172" s="19" t="str">
        <x:v>Jory forearm wound sealed until 10:25:05, with careful handling and dressing.</x:v>
      </x:c>
      <x:c r="F172" s="19" t="str">
        <x:v>Planned</x:v>
      </x:c>
    </x:row>
    <x:row r="173" ht="28" customHeight="1">
      <x:c r="A173" s="17" t="str">
        <x:v>F166</x:v>
      </x:c>
      <x:c r="B173" s="51" t="n">
        <x:v>3</x:v>
      </x:c>
      <x:c r="C173" s="17" t="str">
        <x:v>Constraint</x:v>
      </x:c>
      <x:c r="D173" s="20" t="str">
        <x:v>Constraint 1</x:v>
      </x:c>
      <x:c r="E173" s="20" t="str">
        <x:v>Upright Ward cannot catch a vertically falling ceiling slab.</x:v>
      </x:c>
      <x:c r="F173" s="20" t="str">
        <x:v>Planned</x:v>
      </x:c>
    </x:row>
    <x:row r="174" ht="28" customHeight="1">
      <x:c r="A174" s="2" t="str">
        <x:v>F167</x:v>
      </x:c>
      <x:c r="B174" s="50" t="n">
        <x:v>4</x:v>
      </x:c>
      <x:c r="C174" s="2" t="str">
        <x:v>Constraint</x:v>
      </x:c>
      <x:c r="D174" s="19" t="str">
        <x:v>Constraint 1</x:v>
      </x:c>
      <x:c r="E174" s="19" t="str">
        <x:v>Secluded defensible side chamber physically secured before recovery; Tessa/Owen watch while Dane rests.</x:v>
      </x:c>
      <x:c r="F174" s="19" t="str">
        <x:v>Planned</x:v>
      </x:c>
    </x:row>
    <x:row r="175" ht="28" customHeight="1">
      <x:c r="A175" s="17" t="str">
        <x:v>F168</x:v>
      </x:c>
      <x:c r="B175" s="51" t="n">
        <x:v>4</x:v>
      </x:c>
      <x:c r="C175" s="17" t="str">
        <x:v>Constraint</x:v>
      </x:c>
      <x:c r="D175" s="20" t="str">
        <x:v>Constraint 2</x:v>
      </x:c>
      <x:c r="E175" s="20" t="str">
        <x:v>Braked gate cannot be Overridden through its visible rune protection.</x:v>
      </x:c>
      <x:c r="F175" s="20" t="str">
        <x:v>Planned</x:v>
      </x:c>
    </x:row>
    <x:row r="176" ht="28" customHeight="1">
      <x:c r="A176" s="2" t="str">
        <x:v>F169</x:v>
      </x:c>
      <x:c r="B176" s="50" t="n">
        <x:v>5</x:v>
      </x:c>
      <x:c r="C176" s="2" t="str">
        <x:v>Constraint</x:v>
      </x:c>
      <x:c r="D176" s="19" t="str">
        <x:v>Constraint 1</x:v>
      </x:c>
      <x:c r="E176" s="19" t="str">
        <x:v>Two stranded expedition workers join the five; planned traveling group now seven.</x:v>
      </x:c>
      <x:c r="F176" s="19" t="str">
        <x:v>Planned</x:v>
      </x:c>
    </x:row>
    <x:row r="177" ht="28" customHeight="1">
      <x:c r="A177" s="17" t="str">
        <x:v>F170</x:v>
      </x:c>
      <x:c r="B177" s="51" t="n">
        <x:v>5</x:v>
      </x:c>
      <x:c r="C177" s="17" t="str">
        <x:v>Constraint</x:v>
      </x:c>
      <x:c r="D177" s="20" t="str">
        <x:v>Constraint 2</x:v>
      </x:c>
      <x:c r="E177" s="20" t="str">
        <x:v>Predator need not be killed; danger is escape from nesting territory.</x:v>
      </x:c>
      <x:c r="F177" s="20" t="str">
        <x:v>Planned</x:v>
      </x:c>
    </x:row>
    <x:row r="178" ht="28" customHeight="1">
      <x:c r="A178" s="2" t="str">
        <x:v>F171</x:v>
      </x:c>
      <x:c r="B178" s="50" t="n">
        <x:v>5</x:v>
      </x:c>
      <x:c r="C178" s="2" t="str">
        <x:v>Constraint</x:v>
      </x:c>
      <x:c r="D178" s="19" t="str">
        <x:v>Constraint 3</x:v>
      </x:c>
      <x:c r="E178" s="19" t="str">
        <x:v>Short rests occur beyond predator territory with recovered workers on watch, not during pursuit.</x:v>
      </x:c>
      <x:c r="F178" s="19" t="str">
        <x:v>Planned</x:v>
      </x:c>
    </x:row>
    <x:row r="179" ht="28" customHeight="1">
      <x:c r="A179" s="17" t="str">
        <x:v>F172</x:v>
      </x:c>
      <x:c r="B179" s="51" t="n">
        <x:v>6</x:v>
      </x:c>
      <x:c r="C179" s="17" t="str">
        <x:v>Constraint</x:v>
      </x:c>
      <x:c r="D179" s="20" t="str">
        <x:v>Constraint 1</x:v>
      </x:c>
      <x:c r="E179" s="20" t="str">
        <x:v>New maximum does not refill anyone: Owen/Dane reach10 but retain current Mana before rest.</x:v>
      </x:c>
      <x:c r="F179" s="20" t="str">
        <x:v>Planned</x:v>
      </x:c>
    </x:row>
    <x:row r="180" ht="28" customHeight="1">
      <x:c r="A180" s="2" t="str">
        <x:v>F173</x:v>
      </x:c>
      <x:c r="B180" s="50" t="n">
        <x:v>6</x:v>
      </x:c>
      <x:c r="C180" s="2" t="str">
        <x:v>Constraint</x:v>
      </x:c>
      <x:c r="D180" s="19" t="str">
        <x:v>Constraint 2</x:v>
      </x:c>
      <x:c r="E180" s="19" t="str">
        <x:v>Owen/Dane receive trial availability only; no trial completed or new power selected.</x:v>
      </x:c>
      <x:c r="F180" s="19" t="str">
        <x:v>Planned</x:v>
      </x:c>
    </x:row>
    <x:row r="181" ht="28" customHeight="1">
      <x:c r="A181" s="17" t="str">
        <x:v>F174</x:v>
      </x:c>
      <x:c r="B181" s="51" t="n">
        <x:v>6</x:v>
      </x:c>
      <x:c r="C181" s="17" t="str">
        <x:v>Constraint</x:v>
      </x:c>
      <x:c r="D181" s="20" t="str">
        <x:v>Constraint 3</x:v>
      </x:c>
      <x:c r="E181" s="20" t="str">
        <x:v>Food recovered from established expedition cache, water collected at cistern; show finite carry stores.</x:v>
      </x:c>
      <x:c r="F181" s="20" t="str">
        <x:v>Planned</x:v>
      </x:c>
    </x:row>
    <x:row r="182" ht="28" customHeight="1">
      <x:c r="A182" s="2" t="str">
        <x:v>F175</x:v>
      </x:c>
      <x:c r="B182" s="50" t="n">
        <x:v>6</x:v>
      </x:c>
      <x:c r="C182" s="2" t="str">
        <x:v>Constraint</x:v>
      </x:c>
      <x:c r="D182" s="19" t="str">
        <x:v>Constraint 4</x:v>
      </x:c>
      <x:c r="E182" s="19" t="str">
        <x:v>There is no invented calf injury or healing expenditure in this encounter.</x:v>
      </x:c>
      <x:c r="F182" s="19" t="str">
        <x:v>Planned</x:v>
      </x:c>
    </x:row>
    <x:row r="183" ht="32" customHeight="1">
      <x:c r="A183" s="17" t="str">
        <x:v>F176</x:v>
      </x:c>
      <x:c r="B183" s="51" t="n">
        <x:v>7</x:v>
      </x:c>
      <x:c r="C183" s="17" t="str">
        <x:v>Constraint</x:v>
      </x:c>
      <x:c r="D183" s="20" t="str">
        <x:v>Constraint 1</x:v>
      </x:c>
      <x:c r="E183" s="20" t="str">
        <x:v>Override proof announced before attack: use current10m version under genuine pressure while keeping ally lane clear.</x:v>
      </x:c>
      <x:c r="F183" s="20" t="str">
        <x:v>Planned</x:v>
      </x:c>
    </x:row>
    <x:row r="184" ht="28" customHeight="1">
      <x:c r="A184" s="2" t="str">
        <x:v>F177</x:v>
      </x:c>
      <x:c r="B184" s="50" t="n">
        <x:v>7</x:v>
      </x:c>
      <x:c r="C184" s="2" t="str">
        <x:v>Constraint</x:v>
      </x:c>
      <x:c r="D184" s="19" t="str">
        <x:v>Constraint 2</x:v>
      </x:c>
      <x:c r="E184" s="19" t="str">
        <x:v>Claim proof announced: valid30-second claim while allies defend doorway, no hostile enters.</x:v>
      </x:c>
      <x:c r="F184" s="19" t="str">
        <x:v>Planned</x:v>
      </x:c>
    </x:row>
    <x:row r="185" ht="28" customHeight="1">
      <x:c r="A185" s="17" t="str">
        <x:v>F178</x:v>
      </x:c>
      <x:c r="B185" s="51" t="n">
        <x:v>7</x:v>
      </x:c>
      <x:c r="C185" s="17" t="str">
        <x:v>Constraint</x:v>
      </x:c>
      <x:c r="D185" s="20" t="str">
        <x:v>Constraint 3</x:v>
      </x:c>
      <x:c r="E185" s="20" t="str">
        <x:v>No XP or automatic ranks from drills.</x:v>
      </x:c>
      <x:c r="F185" s="20" t="str">
        <x:v>Planned</x:v>
      </x:c>
    </x:row>
    <x:row r="186" ht="32" customHeight="1">
      <x:c r="A186" s="2" t="str">
        <x:v>F179</x:v>
      </x:c>
      <x:c r="B186" s="50" t="n">
        <x:v>7</x:v>
      </x:c>
      <x:c r="C186" s="2" t="str">
        <x:v>Constraint</x:v>
      </x:c>
      <x:c r="D186" s="19" t="str">
        <x:v>Constraint 4</x:v>
      </x:c>
      <x:c r="E186" s="19" t="str">
        <x:v>Food and conversation follow practice; Kip sleepsDay1 22:00–Day2 05:30. Rotate actual watches among seven and allow companions separate naps.</x:v>
      </x:c>
      <x:c r="F186" s="19" t="str">
        <x:v>Planned</x:v>
      </x:c>
    </x:row>
    <x:row r="187" ht="28" customHeight="1">
      <x:c r="A187" s="17" t="str">
        <x:v>F180</x:v>
      </x:c>
      <x:c r="B187" s="51" t="n">
        <x:v>7</x:v>
      </x:c>
      <x:c r="C187" s="17" t="str">
        <x:v>Focused practice</x:v>
      </x:c>
      <x:c r="D187" s="20" t="str">
        <x:v>Override.skill</x:v>
      </x:c>
      <x:c r="E187" s="20" t="str">
        <x:v>Override</x:v>
      </x:c>
      <x:c r="F187" s="20" t="str">
        <x:v>Planned</x:v>
      </x:c>
    </x:row>
    <x:row r="188" ht="28" customHeight="1">
      <x:c r="A188" s="2" t="str">
        <x:v>F181</x:v>
      </x:c>
      <x:c r="B188" s="50" t="n">
        <x:v>7</x:v>
      </x:c>
      <x:c r="C188" s="2" t="str">
        <x:v>Focused practice</x:v>
      </x:c>
      <x:c r="D188" s="19" t="str">
        <x:v>Override.minutes</x:v>
      </x:c>
      <x:c r="E188" s="60" t="n">
        <x:v>120</x:v>
      </x:c>
      <x:c r="F188" s="19" t="str">
        <x:v>Planned</x:v>
      </x:c>
    </x:row>
    <x:row r="189" ht="28" customHeight="1">
      <x:c r="A189" s="17" t="str">
        <x:v>F182</x:v>
      </x:c>
      <x:c r="B189" s="51" t="n">
        <x:v>7</x:v>
      </x:c>
      <x:c r="C189" s="17" t="str">
        <x:v>Focused practice</x:v>
      </x:c>
      <x:c r="D189" s="20" t="str">
        <x:v>Override.start</x:v>
      </x:c>
      <x:c r="E189" s="20" t="str">
        <x:v>Day1 16:00</x:v>
      </x:c>
      <x:c r="F189" s="20" t="str">
        <x:v>Planned</x:v>
      </x:c>
    </x:row>
    <x:row r="190" ht="28" customHeight="1">
      <x:c r="A190" s="2" t="str">
        <x:v>F183</x:v>
      </x:c>
      <x:c r="B190" s="50" t="n">
        <x:v>7</x:v>
      </x:c>
      <x:c r="C190" s="2" t="str">
        <x:v>Focused practice</x:v>
      </x:c>
      <x:c r="D190" s="19" t="str">
        <x:v>Override.end</x:v>
      </x:c>
      <x:c r="E190" s="19" t="str">
        <x:v>Day1 18:00</x:v>
      </x:c>
      <x:c r="F190" s="19" t="str">
        <x:v>Planned</x:v>
      </x:c>
    </x:row>
    <x:row r="191" ht="32" customHeight="1">
      <x:c r="A191" s="17" t="str">
        <x:v>F184</x:v>
      </x:c>
      <x:c r="B191" s="51" t="n">
        <x:v>7</x:v>
      </x:c>
      <x:c r="C191" s="17" t="str">
        <x:v>Focused practice</x:v>
      </x:c>
      <x:c r="D191" s="20" t="str">
        <x:v>Override.method</x:v>
      </x:c>
      <x:c r="E191" s="20" t="str">
        <x:v>Six valid casts plus skill-specific target reading, angle/distance judgments, concentration and ally-lane drills; no rest credited inside this block.</x:v>
      </x:c>
      <x:c r="F191" s="20" t="str">
        <x:v>Planned</x:v>
      </x:c>
    </x:row>
    <x:row r="192" ht="28" customHeight="1">
      <x:c r="A192" s="2" t="str">
        <x:v>F185</x:v>
      </x:c>
      <x:c r="B192" s="50" t="n">
        <x:v>7</x:v>
      </x:c>
      <x:c r="C192" s="2" t="str">
        <x:v>Focused practice</x:v>
      </x:c>
      <x:c r="D192" s="19" t="str">
        <x:v>Override.cumulative_minutes</x:v>
      </x:c>
      <x:c r="E192" s="60" t="n">
        <x:v>120</x:v>
      </x:c>
      <x:c r="F192" s="19" t="str">
        <x:v>Planned</x:v>
      </x:c>
    </x:row>
    <x:row r="193" ht="28" customHeight="1">
      <x:c r="A193" s="17" t="str">
        <x:v>F186</x:v>
      </x:c>
      <x:c r="B193" s="51" t="n">
        <x:v>7</x:v>
      </x:c>
      <x:c r="C193" s="17" t="str">
        <x:v>Focused practice</x:v>
      </x:c>
      <x:c r="D193" s="20" t="str">
        <x:v>Claim Room.skill</x:v>
      </x:c>
      <x:c r="E193" s="20" t="str">
        <x:v>Claim Room</x:v>
      </x:c>
      <x:c r="F193" s="20" t="str">
        <x:v>Planned</x:v>
      </x:c>
    </x:row>
    <x:row r="194" ht="28" customHeight="1">
      <x:c r="A194" s="2" t="str">
        <x:v>F187</x:v>
      </x:c>
      <x:c r="B194" s="50" t="n">
        <x:v>7</x:v>
      </x:c>
      <x:c r="C194" s="2" t="str">
        <x:v>Focused practice</x:v>
      </x:c>
      <x:c r="D194" s="19" t="str">
        <x:v>Claim Room.minutes</x:v>
      </x:c>
      <x:c r="E194" s="60" t="n">
        <x:v>120</x:v>
      </x:c>
      <x:c r="F194" s="19" t="str">
        <x:v>Planned</x:v>
      </x:c>
    </x:row>
    <x:row r="195" ht="28" customHeight="1">
      <x:c r="A195" s="17" t="str">
        <x:v>F188</x:v>
      </x:c>
      <x:c r="B195" s="51" t="n">
        <x:v>7</x:v>
      </x:c>
      <x:c r="C195" s="17" t="str">
        <x:v>Focused practice</x:v>
      </x:c>
      <x:c r="D195" s="20" t="str">
        <x:v>Claim Room.start</x:v>
      </x:c>
      <x:c r="E195" s="20" t="str">
        <x:v>Day1 18:12</x:v>
      </x:c>
      <x:c r="F195" s="20" t="str">
        <x:v>Planned</x:v>
      </x:c>
    </x:row>
    <x:row r="196" ht="28" customHeight="1">
      <x:c r="A196" s="2" t="str">
        <x:v>F189</x:v>
      </x:c>
      <x:c r="B196" s="50" t="n">
        <x:v>7</x:v>
      </x:c>
      <x:c r="C196" s="2" t="str">
        <x:v>Focused practice</x:v>
      </x:c>
      <x:c r="D196" s="19" t="str">
        <x:v>Claim Room.end</x:v>
      </x:c>
      <x:c r="E196" s="19" t="str">
        <x:v>Day1 20:12</x:v>
      </x:c>
      <x:c r="F196" s="19" t="str">
        <x:v>Planned</x:v>
      </x:c>
    </x:row>
    <x:row r="197" ht="32" customHeight="1">
      <x:c r="A197" s="17" t="str">
        <x:v>F190</x:v>
      </x:c>
      <x:c r="B197" s="51" t="n">
        <x:v>7</x:v>
      </x:c>
      <x:c r="C197" s="17" t="str">
        <x:v>Focused practice</x:v>
      </x:c>
      <x:c r="D197" s="20" t="str">
        <x:v>Claim Room.method</x:v>
      </x:c>
      <x:c r="E197" s="20" t="str">
        <x:v>Directed contact and concentration at the already-owned intact cistern anchor, with controlled distractions and doorway coordination. Does not issue a new Claim, alter ownership or spend Mana.</x:v>
      </x:c>
      <x:c r="F197" s="20" t="str">
        <x:v>Planned</x:v>
      </x:c>
    </x:row>
    <x:row r="198" ht="28" customHeight="1">
      <x:c r="A198" s="2" t="str">
        <x:v>F191</x:v>
      </x:c>
      <x:c r="B198" s="50" t="n">
        <x:v>7</x:v>
      </x:c>
      <x:c r="C198" s="2" t="str">
        <x:v>Focused practice</x:v>
      </x:c>
      <x:c r="D198" s="19" t="str">
        <x:v>Claim Room.cumulative_minutes</x:v>
      </x:c>
      <x:c r="E198" s="60" t="n">
        <x:v>120</x:v>
      </x:c>
      <x:c r="F198" s="19" t="str">
        <x:v>Planned</x:v>
      </x:c>
    </x:row>
    <x:row r="199" ht="28" customHeight="1">
      <x:c r="A199" s="17" t="str">
        <x:v>F192</x:v>
      </x:c>
      <x:c r="B199" s="51" t="n">
        <x:v>8</x:v>
      </x:c>
      <x:c r="C199" s="17" t="str">
        <x:v>Constraint</x:v>
      </x:c>
      <x:c r="D199" s="20" t="str">
        <x:v>Constraint 1</x:v>
      </x:c>
      <x:c r="E199" s="20" t="str">
        <x:v>Physical attacker reaches and breaks B anchor; no remote revocation.</x:v>
      </x:c>
      <x:c r="F199" s="20" t="str">
        <x:v>Planned</x:v>
      </x:c>
    </x:row>
    <x:row r="200" ht="28" customHeight="1">
      <x:c r="A200" s="2" t="str">
        <x:v>F193</x:v>
      </x:c>
      <x:c r="B200" s="50" t="n">
        <x:v>8</x:v>
      </x:c>
      <x:c r="C200" s="2" t="str">
        <x:v>Constraint</x:v>
      </x:c>
      <x:c r="D200" s="19" t="str">
        <x:v>Constraint 2</x:v>
      </x:c>
      <x:c r="E200" s="19" t="str">
        <x:v>Learned Ward and Rank2 Override remain.</x:v>
      </x:c>
      <x:c r="F200" s="19" t="str">
        <x:v>Planned</x:v>
      </x:c>
    </x:row>
    <x:row r="201" ht="28" customHeight="1">
      <x:c r="A201" s="17" t="str">
        <x:v>F194</x:v>
      </x:c>
      <x:c r="B201" s="51" t="n">
        <x:v>8</x:v>
      </x:c>
      <x:c r="C201" s="17" t="str">
        <x:v>Constraint</x:v>
      </x:c>
      <x:c r="D201" s="20" t="str">
        <x:v>Constraint 3</x:v>
      </x:c>
      <x:c r="E201" s="20" t="str">
        <x:v>No recovery in this pursuit.</x:v>
      </x:c>
      <x:c r="F201" s="20" t="str">
        <x:v>Planned</x:v>
      </x:c>
    </x:row>
    <x:row r="202" ht="32" customHeight="1">
      <x:c r="A202" s="2" t="str">
        <x:v>F195</x:v>
      </x:c>
      <x:c r="B202" s="50" t="n">
        <x:v>9</x:v>
      </x:c>
      <x:c r="C202" s="2" t="str">
        <x:v>Constraint</x:v>
      </x:c>
      <x:c r="D202" s="19" t="str">
        <x:v>Constraint 1</x:v>
      </x:c>
      <x:c r="E202" s="19" t="str">
        <x:v>The old expedition shelter is a36m-wide open refuge yard with no intact Claim anchor. Neither enclosing a local patch nor using a broken pedestal supplies a valid Claim target.</x:v>
      </x:c>
      <x:c r="F202" s="19" t="str">
        <x:v>Planned</x:v>
      </x:c>
    </x:row>
    <x:row r="203" ht="32" customHeight="1">
      <x:c r="A203" s="17" t="str">
        <x:v>F196</x:v>
      </x:c>
      <x:c r="B203" s="51" t="n">
        <x:v>9</x:v>
      </x:c>
      <x:c r="C203" s="17" t="str">
        <x:v>Constraint</x:v>
      </x:c>
      <x:c r="D203" s="20" t="str">
        <x:v>Constraint 2</x:v>
      </x:c>
      <x:c r="E203" s="20" t="str">
        <x:v>Shelter safety is physical approaches/watch and Ravel customary guarantee, not a Kip claim. No Claim practice occurs here.</x:v>
      </x:c>
      <x:c r="F203" s="20" t="str">
        <x:v>Planned</x:v>
      </x:c>
    </x:row>
    <x:row r="204" ht="28" customHeight="1">
      <x:c r="A204" s="2" t="str">
        <x:v>F197</x:v>
      </x:c>
      <x:c r="B204" s="50" t="n">
        <x:v>9</x:v>
      </x:c>
      <x:c r="C204" s="2" t="str">
        <x:v>Constraint</x:v>
      </x:c>
      <x:c r="D204" s="19" t="str">
        <x:v>Constraint 3</x:v>
      </x:c>
      <x:c r="E204" s="19" t="str">
        <x:v>Dane discloses all proposed terms before agreement or binding anyone.</x:v>
      </x:c>
      <x:c r="F204" s="19" t="str">
        <x:v>Planned</x:v>
      </x:c>
    </x:row>
    <x:row r="205" ht="28" customHeight="1">
      <x:c r="A205" s="17" t="str">
        <x:v>F198</x:v>
      </x:c>
      <x:c r="B205" s="51" t="n">
        <x:v>10</x:v>
      </x:c>
      <x:c r="C205" s="17" t="str">
        <x:v>Constraint</x:v>
      </x:c>
      <x:c r="D205" s="20" t="str">
        <x:v>Constraint 1</x:v>
      </x:c>
      <x:c r="E205" s="20" t="str">
        <x:v>Claim2 gives capacity2, not a free second room.</x:v>
      </x:c>
      <x:c r="F205" s="20" t="str">
        <x:v>Planned</x:v>
      </x:c>
    </x:row>
    <x:row r="206" ht="28" customHeight="1">
      <x:c r="A206" s="2" t="str">
        <x:v>F199</x:v>
      </x:c>
      <x:c r="B206" s="50" t="n">
        <x:v>10</x:v>
      </x:c>
      <x:c r="C206" s="2" t="str">
        <x:v>Constraint</x:v>
      </x:c>
      <x:c r="D206" s="19" t="str">
        <x:v>Constraint 2</x:v>
      </x:c>
      <x:c r="E206" s="19" t="str">
        <x:v>Stored images are ordinary hand-operated recording playback, not a new Kip power.</x:v>
      </x:c>
      <x:c r="F206" s="19" t="str">
        <x:v>Planned</x:v>
      </x:c>
    </x:row>
    <x:row r="207" ht="28" customHeight="1">
      <x:c r="A207" s="17" t="str">
        <x:v>F200</x:v>
      </x:c>
      <x:c r="B207" s="51" t="n">
        <x:v>10</x:v>
      </x:c>
      <x:c r="C207" s="17" t="str">
        <x:v>Constraint</x:v>
      </x:c>
      <x:c r="D207" s="20" t="str">
        <x:v>Constraint 3</x:v>
      </x:c>
      <x:c r="E207" s="20" t="str">
        <x:v>Tessa reaches8; max75 but current45 until rest.</x:v>
      </x:c>
      <x:c r="F207" s="20" t="str">
        <x:v>Planned</x:v>
      </x:c>
    </x:row>
    <x:row r="208" ht="48" customHeight="1">
      <x:c r="A208" s="2" t="str">
        <x:v>F201</x:v>
      </x:c>
      <x:c r="B208" s="50" t="n">
        <x:v>10</x:v>
      </x:c>
      <x:c r="C208" s="2" t="str">
        <x:v>Constraint</x:v>
      </x:c>
      <x:c r="D208" s="19" t="str">
        <x:v>Constraint 4</x:v>
      </x:c>
      <x:c r="E208" s="19" t="str">
        <x:v>Jory remains in the open36m old refuge yard with Lena and Ben, physical approach barriers and an ordinary watch, under Ravel explicit refuge guarantee. No intact Claim anchor exists there. The main four return before15:00; chapter11 exposes the betrayal. Neither helper earns chapter10 XP by proximity.</x:v>
      </x:c>
      <x:c r="F208" s="19" t="str">
        <x:v>Planned</x:v>
      </x:c>
    </x:row>
    <x:row r="209" ht="32" customHeight="1">
      <x:c r="A209" s="17" t="str">
        <x:v>F202</x:v>
      </x:c>
      <x:c r="B209" s="51" t="n">
        <x:v>11</x:v>
      </x:c>
      <x:c r="C209" s="17" t="str">
        <x:v>Injury</x:v>
      </x:c>
      <x:c r="D209" s="20" t="str">
        <x:v>Carry forward</x:v>
      </x:c>
      <x:c r="E209" s="20" t="str">
        <x:v>Dane left wrist fracture splinted; cannot carry litter two-handed or use two-handed sword grip. Right-hand sword blocks remain possible.</x:v>
      </x:c>
      <x:c r="F209" s="20" t="str">
        <x:v>Planned</x:v>
      </x:c>
    </x:row>
    <x:row r="210" ht="28" customHeight="1">
      <x:c r="A210" s="2" t="str">
        <x:v>F203</x:v>
      </x:c>
      <x:c r="B210" s="50" t="n">
        <x:v>11</x:v>
      </x:c>
      <x:c r="C210" s="2" t="str">
        <x:v>Injury</x:v>
      </x:c>
      <x:c r="D210" s="19" t="str">
        <x:v>Carry forward</x:v>
      </x:c>
      <x:c r="E210" s="19" t="str">
        <x:v>Jory lower-leg fracture unchanged.</x:v>
      </x:c>
      <x:c r="F210" s="19" t="str">
        <x:v>Planned</x:v>
      </x:c>
    </x:row>
    <x:row r="211" ht="28" customHeight="1">
      <x:c r="A211" s="17" t="str">
        <x:v>F204</x:v>
      </x:c>
      <x:c r="B211" s="51" t="n">
        <x:v>11</x:v>
      </x:c>
      <x:c r="C211" s="17" t="str">
        <x:v>Constraint</x:v>
      </x:c>
      <x:c r="D211" s="20" t="str">
        <x:v>Constraint 1</x:v>
      </x:c>
      <x:c r="E211" s="20" t="str">
        <x:v>Ravel opens physical predator approach into UNCLAIMED old shelter; C claim does not cancel this betrayal.</x:v>
      </x:c>
      <x:c r="F211" s="20" t="str">
        <x:v>Planned</x:v>
      </x:c>
    </x:row>
    <x:row r="212" ht="28" customHeight="1">
      <x:c r="A212" s="2" t="str">
        <x:v>F205</x:v>
      </x:c>
      <x:c r="B212" s="50" t="n">
        <x:v>11</x:v>
      </x:c>
      <x:c r="C212" s="2" t="str">
        <x:v>Constraint</x:v>
      </x:c>
      <x:c r="D212" s="19" t="str">
        <x:v>Constraint 2</x:v>
      </x:c>
      <x:c r="E212" s="19" t="str">
        <x:v>No dead worker or porter silently replaced.</x:v>
      </x:c>
      <x:c r="F212" s="19" t="str">
        <x:v>Planned</x:v>
      </x:c>
    </x:row>
    <x:row r="213" ht="32" customHeight="1">
      <x:c r="A213" s="17" t="str">
        <x:v>F206</x:v>
      </x:c>
      <x:c r="B213" s="51" t="n">
        <x:v>12</x:v>
      </x:c>
      <x:c r="C213" s="17" t="str">
        <x:v>Constraint</x:v>
      </x:c>
      <x:c r="D213" s="20" t="str">
        <x:v>Constraint 1</x:v>
      </x:c>
      <x:c r="E213" s="20" t="str">
        <x:v>Two captive clearance workers are seen/testify but remain behind guarded conduit; they are the SAME pair rescued in14. Traveling group remains7.</x:v>
      </x:c>
      <x:c r="F213" s="20" t="str">
        <x:v>Planned</x:v>
      </x:c>
    </x:row>
    <x:row r="214" ht="32" customHeight="1">
      <x:c r="A214" s="2" t="str">
        <x:v>F207</x:v>
      </x:c>
      <x:c r="B214" s="50" t="n">
        <x:v>12</x:v>
      </x:c>
      <x:c r="C214" s="2" t="str">
        <x:v>Constraint</x:v>
      </x:c>
      <x:c r="D214" s="19" t="str">
        <x:v>Constraint 2</x:v>
      </x:c>
      <x:c r="E214" s="19" t="str">
        <x:v>Remote Earth-like stored image is seen only through physically credible window into apparatus; not Sight through walls.</x:v>
      </x:c>
      <x:c r="F214" s="19" t="str">
        <x:v>Planned</x:v>
      </x:c>
    </x:row>
    <x:row r="215" ht="32" customHeight="1">
      <x:c r="A215" s="17" t="str">
        <x:v>F208</x:v>
      </x:c>
      <x:c r="B215" s="51" t="n">
        <x:v>12</x:v>
      </x:c>
      <x:c r="C215" s="17" t="str">
        <x:v>Constraint</x:v>
      </x:c>
      <x:c r="D215" s="20" t="str">
        <x:v>Constraint 3</x:v>
      </x:c>
      <x:c r="E215" s="20" t="str">
        <x:v>Jory, Lena and Ben remain together in the lever hall behind a secured ordinary doorway and watch while the main four scout the gardens. No patient is left alone.</x:v>
      </x:c>
      <x:c r="F215" s="20" t="str">
        <x:v>Planned</x:v>
      </x:c>
    </x:row>
    <x:row r="216" ht="32" customHeight="1">
      <x:c r="A216" s="2" t="str">
        <x:v>F209</x:v>
      </x:c>
      <x:c r="B216" s="50" t="n">
        <x:v>13</x:v>
      </x:c>
      <x:c r="C216" s="2" t="str">
        <x:v>Constraint</x:v>
      </x:c>
      <x:c r="D216" s="19" t="str">
        <x:v>Constraint 1</x:v>
      </x:c>
      <x:c r="E216" s="19" t="str">
        <x:v>Ward proof announced: place current10-second Ward before a feint, retain correct facing, catch real physical strike inside its lifetime.</x:v>
      </x:c>
      <x:c r="F216" s="19" t="str">
        <x:v>Planned</x:v>
      </x:c>
    </x:row>
    <x:row r="217" ht="28" customHeight="1">
      <x:c r="A217" s="17" t="str">
        <x:v>F210</x:v>
      </x:c>
      <x:c r="B217" s="51" t="n">
        <x:v>13</x:v>
      </x:c>
      <x:c r="C217" s="17" t="str">
        <x:v>Constraint</x:v>
      </x:c>
      <x:c r="D217" s="20" t="str">
        <x:v>Constraint 2</x:v>
      </x:c>
      <x:c r="E217" s="20" t="str">
        <x:v>No XP from training, debate or decline of bargain.</x:v>
      </x:c>
      <x:c r="F217" s="20" t="str">
        <x:v>Planned</x:v>
      </x:c>
    </x:row>
    <x:row r="218" ht="28" customHeight="1">
      <x:c r="A218" s="2" t="str">
        <x:v>F211</x:v>
      </x:c>
      <x:c r="B218" s="50" t="n">
        <x:v>13</x:v>
      </x:c>
      <x:c r="C218" s="2" t="str">
        <x:v>Constraint</x:v>
      </x:c>
      <x:c r="D218" s="19" t="str">
        <x:v>Constraint 3</x:v>
      </x:c>
      <x:c r="E218" s="19" t="str">
        <x:v>Kip sleepDay2 23:00–Day3 06:30; others rotate actual protected sleep.</x:v>
      </x:c>
      <x:c r="F218" s="19" t="str">
        <x:v>Planned</x:v>
      </x:c>
    </x:row>
    <x:row r="219" ht="28" customHeight="1">
      <x:c r="A219" s="17" t="str">
        <x:v>F212</x:v>
      </x:c>
      <x:c r="B219" s="51" t="n">
        <x:v>13</x:v>
      </x:c>
      <x:c r="C219" s="17" t="str">
        <x:v>Focused practice</x:v>
      </x:c>
      <x:c r="D219" s="20" t="str">
        <x:v>Sovereign Ward.skill</x:v>
      </x:c>
      <x:c r="E219" s="20" t="str">
        <x:v>Sovereign Ward</x:v>
      </x:c>
      <x:c r="F219" s="20" t="str">
        <x:v>Planned</x:v>
      </x:c>
    </x:row>
    <x:row r="220" ht="28" customHeight="1">
      <x:c r="A220" s="2" t="str">
        <x:v>F213</x:v>
      </x:c>
      <x:c r="B220" s="50" t="n">
        <x:v>13</x:v>
      </x:c>
      <x:c r="C220" s="2" t="str">
        <x:v>Focused practice</x:v>
      </x:c>
      <x:c r="D220" s="19" t="str">
        <x:v>Sovereign Ward.minutes</x:v>
      </x:c>
      <x:c r="E220" s="60" t="n">
        <x:v>90</x:v>
      </x:c>
      <x:c r="F220" s="19" t="str">
        <x:v>Planned</x:v>
      </x:c>
    </x:row>
    <x:row r="221" ht="28" customHeight="1">
      <x:c r="A221" s="17" t="str">
        <x:v>F214</x:v>
      </x:c>
      <x:c r="B221" s="51" t="n">
        <x:v>13</x:v>
      </x:c>
      <x:c r="C221" s="17" t="str">
        <x:v>Focused practice</x:v>
      </x:c>
      <x:c r="D221" s="20" t="str">
        <x:v>Sovereign Ward.start</x:v>
      </x:c>
      <x:c r="E221" s="20" t="str">
        <x:v>Day2 19:10</x:v>
      </x:c>
      <x:c r="F221" s="20" t="str">
        <x:v>Planned</x:v>
      </x:c>
    </x:row>
    <x:row r="222" ht="28" customHeight="1">
      <x:c r="A222" s="2" t="str">
        <x:v>F215</x:v>
      </x:c>
      <x:c r="B222" s="50" t="n">
        <x:v>13</x:v>
      </x:c>
      <x:c r="C222" s="2" t="str">
        <x:v>Focused practice</x:v>
      </x:c>
      <x:c r="D222" s="19" t="str">
        <x:v>Sovereign Ward.end</x:v>
      </x:c>
      <x:c r="E222" s="19" t="str">
        <x:v>Day2 20:40</x:v>
      </x:c>
      <x:c r="F222" s="19" t="str">
        <x:v>Planned</x:v>
      </x:c>
    </x:row>
    <x:row r="223" ht="32" customHeight="1">
      <x:c r="A223" s="17" t="str">
        <x:v>F216</x:v>
      </x:c>
      <x:c r="B223" s="51" t="n">
        <x:v>13</x:v>
      </x:c>
      <x:c r="C223" s="17" t="str">
        <x:v>Focused practice</x:v>
      </x:c>
      <x:c r="D223" s="20" t="str">
        <x:v>Sovereign Ward.method</x:v>
      </x:c>
      <x:c r="E223" s="20" t="str">
        <x:v>Three paid practice casts; focused placement, facing, feint-recognition and pre-timing drills between casts, no rest counted.</x:v>
      </x:c>
      <x:c r="F223" s="20" t="str">
        <x:v>Planned</x:v>
      </x:c>
    </x:row>
    <x:row r="224" ht="28" customHeight="1">
      <x:c r="A224" s="2" t="str">
        <x:v>F217</x:v>
      </x:c>
      <x:c r="B224" s="50" t="n">
        <x:v>13</x:v>
      </x:c>
      <x:c r="C224" s="2" t="str">
        <x:v>Focused practice</x:v>
      </x:c>
      <x:c r="D224" s="19" t="str">
        <x:v>Sovereign Ward.cumulative_minutes</x:v>
      </x:c>
      <x:c r="E224" s="60" t="n">
        <x:v>90</x:v>
      </x:c>
      <x:c r="F224" s="19" t="str">
        <x:v>Planned</x:v>
      </x:c>
    </x:row>
    <x:row r="225" ht="28" customHeight="1">
      <x:c r="A225" s="17" t="str">
        <x:v>F218</x:v>
      </x:c>
      <x:c r="B225" s="51" t="n">
        <x:v>14</x:v>
      </x:c>
      <x:c r="C225" s="17" t="str">
        <x:v>Constraint</x:v>
      </x:c>
      <x:c r="D225" s="20" t="str">
        <x:v>Constraint 1</x:v>
      </x:c>
      <x:c r="E225" s="20" t="str">
        <x:v>Rescues the2 captive workers established12, total traveling9; no newpair.</x:v>
      </x:c>
      <x:c r="F225" s="20" t="str">
        <x:v>Planned</x:v>
      </x:c>
    </x:row>
    <x:row r="226" ht="28" customHeight="1">
      <x:c r="A226" s="2" t="str">
        <x:v>F219</x:v>
      </x:c>
      <x:c r="B226" s="50" t="n">
        <x:v>14</x:v>
      </x:c>
      <x:c r="C226" s="2" t="str">
        <x:v>Constraint</x:v>
      </x:c>
      <x:c r="D226" s="19" t="str">
        <x:v>Constraint 2</x:v>
      </x:c>
      <x:c r="E226" s="19" t="str">
        <x:v>Heat danger solved by route, timing and leaving cavern, never by Ward/Bulwark.</x:v>
      </x:c>
      <x:c r="F226" s="19" t="str">
        <x:v>Planned</x:v>
      </x:c>
    </x:row>
    <x:row r="227" ht="28" customHeight="1">
      <x:c r="A227" s="17" t="str">
        <x:v>F220</x:v>
      </x:c>
      <x:c r="B227" s="51" t="n">
        <x:v>15</x:v>
      </x:c>
      <x:c r="C227" s="17" t="str">
        <x:v>Constraint</x:v>
      </x:c>
      <x:c r="D227" s="20" t="str">
        <x:v>Constraint 1</x:v>
      </x:c>
      <x:c r="E227" s="20" t="str">
        <x:v>No XP for failed objective or re-opened fight.</x:v>
      </x:c>
      <x:c r="F227" s="20" t="str">
        <x:v>Planned</x:v>
      </x:c>
    </x:row>
    <x:row r="228" ht="28" customHeight="1">
      <x:c r="A228" s="2" t="str">
        <x:v>F221</x:v>
      </x:c>
      <x:c r="B228" s="50" t="n">
        <x:v>15</x:v>
      </x:c>
      <x:c r="C228" s="2" t="str">
        <x:v>Constraint</x:v>
      </x:c>
      <x:c r="D228" s="19" t="str">
        <x:v>Constraint 2</x:v>
      </x:c>
      <x:c r="E228" s="19" t="str">
        <x:v>Archive C anchor physically destroyed by local patrol while retreating; cannot claimallrooms or revokeD.</x:v>
      </x:c>
      <x:c r="F228" s="19" t="str">
        <x:v>Planned</x:v>
      </x:c>
    </x:row>
    <x:row r="229" ht="28" customHeight="1">
      <x:c r="A229" s="17" t="str">
        <x:v>F222</x:v>
      </x:c>
      <x:c r="B229" s="51" t="n">
        <x:v>15</x:v>
      </x:c>
      <x:c r="C229" s="17" t="str">
        <x:v>Constraint</x:v>
      </x:c>
      <x:c r="D229" s="20" t="str">
        <x:v>Constraint 3</x:v>
      </x:c>
      <x:c r="E229" s="20" t="str">
        <x:v>Kip ends25/70 exactly; failure is loss of control/position, not unannounced Mana tax.</x:v>
      </x:c>
      <x:c r="F229" s="20" t="str">
        <x:v>Planned</x:v>
      </x:c>
    </x:row>
    <x:row r="230" ht="32" customHeight="1">
      <x:c r="A230" s="2" t="str">
        <x:v>F223</x:v>
      </x:c>
      <x:c r="B230" s="50" t="n">
        <x:v>15</x:v>
      </x:c>
      <x:c r="C230" s="2" t="str">
        <x:v>Constraint</x:v>
      </x:c>
      <x:c r="D230" s="19" t="str">
        <x:v>Constraint 4</x:v>
      </x:c>
      <x:c r="E230" s="19" t="str">
        <x:v>Jory and all four recovered workers remain in the lever hall with a physical watch while the main four enter the annex. The archive is empty, which permits a patrol to reach and break its anchor.</x:v>
      </x:c>
      <x:c r="F230" s="19" t="str">
        <x:v>Planned</x:v>
      </x:c>
    </x:row>
    <x:row r="231" ht="28" customHeight="1">
      <x:c r="A231" s="17" t="str">
        <x:v>F224</x:v>
      </x:c>
      <x:c r="B231" s="51" t="n">
        <x:v>16</x:v>
      </x:c>
      <x:c r="C231" s="17" t="str">
        <x:v>Constraint</x:v>
      </x:c>
      <x:c r="D231" s="20" t="str">
        <x:v>Constraint 1</x:v>
      </x:c>
      <x:c r="E231" s="20" t="str">
        <x:v>No XP or immediate Ward upgrade; all requirements except genuine proof complete.</x:v>
      </x:c>
      <x:c r="F231" s="20" t="str">
        <x:v>Planned</x:v>
      </x:c>
    </x:row>
    <x:row r="232" ht="28" customHeight="1">
      <x:c r="A232" s="2" t="str">
        <x:v>F225</x:v>
      </x:c>
      <x:c r="B232" s="50" t="n">
        <x:v>16</x:v>
      </x:c>
      <x:c r="C232" s="2" t="str">
        <x:v>Constraint</x:v>
      </x:c>
      <x:c r="D232" s="19" t="str">
        <x:v>Constraint 2</x:v>
      </x:c>
      <x:c r="E232" s="19" t="str">
        <x:v>Jory devises gate load rig while seated; cannot lift or suddenly walk.</x:v>
      </x:c>
      <x:c r="F232" s="19" t="str">
        <x:v>Planned</x:v>
      </x:c>
    </x:row>
    <x:row r="233" ht="28" customHeight="1">
      <x:c r="A233" s="17" t="str">
        <x:v>F226</x:v>
      </x:c>
      <x:c r="B233" s="51" t="n">
        <x:v>16</x:v>
      </x:c>
      <x:c r="C233" s="17" t="str">
        <x:v>Constraint</x:v>
      </x:c>
      <x:c r="D233" s="20" t="str">
        <x:v>Constraint 3</x:v>
      </x:c>
      <x:c r="E233" s="20" t="str">
        <x:v>Ordinary finite rope, bridle and supports come from carried expedition kit, not summoned loot.</x:v>
      </x:c>
      <x:c r="F233" s="20" t="str">
        <x:v>Planned</x:v>
      </x:c>
    </x:row>
    <x:row r="234" ht="28" customHeight="1">
      <x:c r="A234" s="2" t="str">
        <x:v>F227</x:v>
      </x:c>
      <x:c r="B234" s="50" t="n">
        <x:v>16</x:v>
      </x:c>
      <x:c r="C234" s="2" t="str">
        <x:v>Constraint</x:v>
      </x:c>
      <x:c r="D234" s="19" t="str">
        <x:v>Constraint 4</x:v>
      </x:c>
      <x:c r="E234" s="19" t="str">
        <x:v>Plan/food/rest occupy remainingday; Kip sleepsDay3 22:00–Day4 05:30 under real watch.</x:v>
      </x:c>
      <x:c r="F234" s="19" t="str">
        <x:v>Planned</x:v>
      </x:c>
    </x:row>
    <x:row r="235" ht="28" customHeight="1">
      <x:c r="A235" s="17" t="str">
        <x:v>F228</x:v>
      </x:c>
      <x:c r="B235" s="51" t="n">
        <x:v>16</x:v>
      </x:c>
      <x:c r="C235" s="17" t="str">
        <x:v>Focused practice</x:v>
      </x:c>
      <x:c r="D235" s="20" t="str">
        <x:v>Sovereign Ward.skill</x:v>
      </x:c>
      <x:c r="E235" s="20" t="str">
        <x:v>Sovereign Ward</x:v>
      </x:c>
      <x:c r="F235" s="20" t="str">
        <x:v>Planned</x:v>
      </x:c>
    </x:row>
    <x:row r="236" ht="28" customHeight="1">
      <x:c r="A236" s="2" t="str">
        <x:v>F229</x:v>
      </x:c>
      <x:c r="B236" s="50" t="n">
        <x:v>16</x:v>
      </x:c>
      <x:c r="C236" s="2" t="str">
        <x:v>Focused practice</x:v>
      </x:c>
      <x:c r="D236" s="19" t="str">
        <x:v>Sovereign Ward.minutes</x:v>
      </x:c>
      <x:c r="E236" s="60" t="n">
        <x:v>30</x:v>
      </x:c>
      <x:c r="F236" s="19" t="str">
        <x:v>Planned</x:v>
      </x:c>
    </x:row>
    <x:row r="237" ht="28" customHeight="1">
      <x:c r="A237" s="17" t="str">
        <x:v>F230</x:v>
      </x:c>
      <x:c r="B237" s="51" t="n">
        <x:v>16</x:v>
      </x:c>
      <x:c r="C237" s="17" t="str">
        <x:v>Focused practice</x:v>
      </x:c>
      <x:c r="D237" s="20" t="str">
        <x:v>Sovereign Ward.start</x:v>
      </x:c>
      <x:c r="E237" s="20" t="str">
        <x:v>Day3 11:20</x:v>
      </x:c>
      <x:c r="F237" s="20" t="str">
        <x:v>Planned</x:v>
      </x:c>
    </x:row>
    <x:row r="238" ht="28" customHeight="1">
      <x:c r="A238" s="2" t="str">
        <x:v>F231</x:v>
      </x:c>
      <x:c r="B238" s="50" t="n">
        <x:v>16</x:v>
      </x:c>
      <x:c r="C238" s="2" t="str">
        <x:v>Focused practice</x:v>
      </x:c>
      <x:c r="D238" s="19" t="str">
        <x:v>Sovereign Ward.end</x:v>
      </x:c>
      <x:c r="E238" s="19" t="str">
        <x:v>Day3 11:50</x:v>
      </x:c>
      <x:c r="F238" s="19" t="str">
        <x:v>Planned</x:v>
      </x:c>
    </x:row>
    <x:row r="239" ht="32" customHeight="1">
      <x:c r="A239" s="17" t="str">
        <x:v>F232</x:v>
      </x:c>
      <x:c r="B239" s="51" t="n">
        <x:v>16</x:v>
      </x:c>
      <x:c r="C239" s="17" t="str">
        <x:v>Focused practice</x:v>
      </x:c>
      <x:c r="D239" s="20" t="str">
        <x:v>Sovereign Ward.method</x:v>
      </x:c>
      <x:c r="E239" s="20" t="str">
        <x:v>One paid cast with concentrated pre-placement and feint timing drills; no simultaneous rest/training credit.</x:v>
      </x:c>
      <x:c r="F239" s="20" t="str">
        <x:v>Planned</x:v>
      </x:c>
    </x:row>
    <x:row r="240" ht="28" customHeight="1">
      <x:c r="A240" s="2" t="str">
        <x:v>F233</x:v>
      </x:c>
      <x:c r="B240" s="50" t="n">
        <x:v>16</x:v>
      </x:c>
      <x:c r="C240" s="2" t="str">
        <x:v>Focused practice</x:v>
      </x:c>
      <x:c r="D240" s="19" t="str">
        <x:v>Sovereign Ward.cumulative_minutes</x:v>
      </x:c>
      <x:c r="E240" s="60" t="n">
        <x:v>120</x:v>
      </x:c>
      <x:c r="F240" s="19" t="str">
        <x:v>Planned</x:v>
      </x:c>
    </x:row>
    <x:row r="241" ht="28" customHeight="1">
      <x:c r="A241" s="17" t="str">
        <x:v>F234</x:v>
      </x:c>
      <x:c r="B241" s="51" t="n">
        <x:v>17</x:v>
      </x:c>
      <x:c r="C241" s="17" t="str">
        <x:v>Constraint</x:v>
      </x:c>
      <x:c r="D241" s="20" t="str">
        <x:v>Constraint 1</x:v>
      </x:c>
      <x:c r="E241" s="20" t="str">
        <x:v>Proof uses Rank1 lifetime before reward.</x:v>
      </x:c>
      <x:c r="F241" s="20" t="str">
        <x:v>Planned</x:v>
      </x:c>
    </x:row>
    <x:row r="242" ht="32" customHeight="1">
      <x:c r="A242" s="2" t="str">
        <x:v>F235</x:v>
      </x:c>
      <x:c r="B242" s="50" t="n">
        <x:v>17</x:v>
      </x:c>
      <x:c r="C242" s="2" t="str">
        <x:v>Constraint</x:v>
      </x:c>
      <x:c r="D242" s="19" t="str">
        <x:v>Constraint 2</x:v>
      </x:c>
      <x:c r="E242" s="19" t="str">
        <x:v>Safe network outlet is RECONNECTED, separate hostile root conduit is physically SEALED. Do not reverse them.</x:v>
      </x:c>
      <x:c r="F242" s="19" t="str">
        <x:v>Planned</x:v>
      </x:c>
    </x:row>
    <x:row r="243" ht="28" customHeight="1">
      <x:c r="A243" s="17" t="str">
        <x:v>F236</x:v>
      </x:c>
      <x:c r="B243" s="51" t="n">
        <x:v>17</x:v>
      </x:c>
      <x:c r="C243" s="17" t="str">
        <x:v>Constraint</x:v>
      </x:c>
      <x:c r="D243" s="20" t="str">
        <x:v>Constraint 3</x:v>
      </x:c>
      <x:c r="E243" s="20" t="str">
        <x:v>No claim of active boss chamber/core.</x:v>
      </x:c>
      <x:c r="F243" s="20" t="str">
        <x:v>Planned</x:v>
      </x:c>
    </x:row>
    <x:row r="244" ht="28" customHeight="1">
      <x:c r="A244" s="2" t="str">
        <x:v>F237</x:v>
      </x:c>
      <x:c r="B244" s="50" t="n">
        <x:v>18</x:v>
      </x:c>
      <x:c r="C244" s="2" t="str">
        <x:v>Constraint</x:v>
      </x:c>
      <x:c r="D244" s="19" t="str">
        <x:v>Constraint 1</x:v>
      </x:c>
      <x:c r="E244" s="19" t="str">
        <x:v>Actual quiet protected rest, not cover while monsterstillattacks.</x:v>
      </x:c>
      <x:c r="F244" s="19" t="str">
        <x:v>Planned</x:v>
      </x:c>
    </x:row>
    <x:row r="245" ht="28" customHeight="1">
      <x:c r="A245" s="17" t="str">
        <x:v>F238</x:v>
      </x:c>
      <x:c r="B245" s="51" t="n">
        <x:v>18</x:v>
      </x:c>
      <x:c r="C245" s="17" t="str">
        <x:v>Constraint</x:v>
      </x:c>
      <x:c r="D245" s="20" t="str">
        <x:v>Constraint 2</x:v>
      </x:c>
      <x:c r="E245" s="20" t="str">
        <x:v>Kip enters boss75/75; threefixtures ready/functions/arcs and priorSight inspection need geographical map.</x:v>
      </x:c>
      <x:c r="F245" s="20" t="str">
        <x:v>Planned</x:v>
      </x:c>
    </x:row>
    <x:row r="246" ht="28" customHeight="1">
      <x:c r="A246" s="2" t="str">
        <x:v>F239</x:v>
      </x:c>
      <x:c r="B246" s="50" t="n">
        <x:v>18</x:v>
      </x:c>
      <x:c r="C246" s="2" t="str">
        <x:v>Constraint</x:v>
      </x:c>
      <x:c r="D246" s="19" t="str">
        <x:v>Constraint 3</x:v>
      </x:c>
      <x:c r="E246" s="19" t="str">
        <x:v>Stop/disconnect opportunity explained before finalattack; Ravel refuses.</x:v>
      </x:c>
      <x:c r="F246" s="19" t="str">
        <x:v>Planned</x:v>
      </x:c>
    </x:row>
    <x:row r="247" ht="32" customHeight="1">
      <x:c r="A247" s="17" t="str">
        <x:v>F240</x:v>
      </x:c>
      <x:c r="B247" s="51" t="n">
        <x:v>18</x:v>
      </x:c>
      <x:c r="C247" s="17" t="str">
        <x:v>Constraint</x:v>
      </x:c>
      <x:c r="D247" s="20" t="str">
        <x:v>Constraint 4</x:v>
      </x:c>
      <x:c r="E247" s="20" t="str">
        <x:v>Jory stays in secured gatewalk room E with Lena and Ben; Eda and Cal carry supplies outside the fighting lane. The main four clear the approach; helpers do not gain its XP automatically.</x:v>
      </x:c>
      <x:c r="F247" s="20" t="str">
        <x:v>Planned</x:v>
      </x:c>
    </x:row>
    <x:row r="248" ht="28" customHeight="1">
      <x:c r="A248" s="2" t="str">
        <x:v>F241</x:v>
      </x:c>
      <x:c r="B248" s="50" t="n">
        <x:v>19</x:v>
      </x:c>
      <x:c r="C248" s="2" t="str">
        <x:v>Injury</x:v>
      </x:c>
      <x:c r="D248" s="19" t="str">
        <x:v>Carry forward</x:v>
      </x:c>
      <x:c r="E248" s="19" t="str">
        <x:v>Dane new shallow forearm cut is Mended; pain, bruising, blood loss and left wrist fracture remain.</x:v>
      </x:c>
      <x:c r="F248" s="19" t="str">
        <x:v>Planned</x:v>
      </x:c>
    </x:row>
    <x:row r="249" ht="28" customHeight="1">
      <x:c r="A249" s="17" t="str">
        <x:v>F242</x:v>
      </x:c>
      <x:c r="B249" s="51" t="n">
        <x:v>19</x:v>
      </x:c>
      <x:c r="C249" s="17" t="str">
        <x:v>Injury</x:v>
      </x:c>
      <x:c r="D249" s="20" t="str">
        <x:v>Carry forward</x:v>
      </x:c>
      <x:c r="E249" s="20" t="str">
        <x:v>Jory lower-leg fracture remains.</x:v>
      </x:c>
      <x:c r="F249" s="20" t="str">
        <x:v>Planned</x:v>
      </x:c>
    </x:row>
    <x:row r="250" ht="48" customHeight="1">
      <x:c r="A250" s="2" t="str">
        <x:v>F243</x:v>
      </x:c>
      <x:c r="B250" s="50" t="n">
        <x:v>19</x:v>
      </x:c>
      <x:c r="C250" s="2" t="str">
        <x:v>Custody</x:v>
      </x:c>
      <x:c r="D250" s="19" t="str">
        <x:v>source_stone</x:v>
      </x:c>
      <x:c r="E250" s="19" t="str">
        <x:v>Kip physically removes stone from accessible rear tray at09:00:16–09:00:20 after previously seeing its mounting; he secures it before the apparatus collapses at09:00:29. No Override or Claim acquires loose objects.</x:v>
      </x:c>
      <x:c r="F250" s="19" t="str">
        <x:v>Planned</x:v>
      </x:c>
    </x:row>
    <x:row r="251" ht="28" customHeight="1">
      <x:c r="A251" s="17" t="str">
        <x:v>F244</x:v>
      </x:c>
      <x:c r="B251" s="51" t="n">
        <x:v>19</x:v>
      </x:c>
      <x:c r="C251" s="17" t="str">
        <x:v>Custody</x:v>
      </x:c>
      <x:c r="D251" s="20" t="str">
        <x:v>Jory_litter</x:v>
      </x:c>
      <x:c r="E251" s="20" t="str">
        <x:v>Carried by recovered workers; Dane left wrist cannot help carry.</x:v>
      </x:c>
      <x:c r="F251" s="20" t="str">
        <x:v>Planned</x:v>
      </x:c>
    </x:row>
    <x:row r="252" ht="28" customHeight="1">
      <x:c r="A252" s="2" t="str">
        <x:v>F245</x:v>
      </x:c>
      <x:c r="B252" s="50" t="n">
        <x:v>19</x:v>
      </x:c>
      <x:c r="C252" s="2" t="str">
        <x:v>Constraint</x:v>
      </x:c>
      <x:c r="D252" s="19" t="str">
        <x:v>Constraint 1</x:v>
      </x:c>
      <x:c r="E252" s="19" t="str">
        <x:v>Bosscastspend60, not45: Kip75−30Override−30Ward=15.</x:v>
      </x:c>
      <x:c r="F252" s="19" t="str">
        <x:v>Planned</x:v>
      </x:c>
    </x:row>
    <x:row r="253" ht="28" customHeight="1">
      <x:c r="A253" s="17" t="str">
        <x:v>F246</x:v>
      </x:c>
      <x:c r="B253" s="51" t="n">
        <x:v>19</x:v>
      </x:c>
      <x:c r="C253" s="17" t="str">
        <x:v>Constraint</x:v>
      </x:c>
      <x:c r="D253" s="20" t="str">
        <x:v>Constraint 2</x:v>
      </x:c>
      <x:c r="E253" s="20" t="str">
        <x:v>After300XP Kip9 max80 current15; no victoryrefill.</x:v>
      </x:c>
      <x:c r="F253" s="20" t="str">
        <x:v>Planned</x:v>
      </x:c>
    </x:row>
    <x:row r="254" ht="28" customHeight="1">
      <x:c r="A254" s="2" t="str">
        <x:v>F247</x:v>
      </x:c>
      <x:c r="B254" s="50" t="n">
        <x:v>19</x:v>
      </x:c>
      <x:c r="C254" s="2" t="str">
        <x:v>Constraint</x:v>
      </x:c>
      <x:c r="D254" s="19" t="str">
        <x:v>Constraint 3</x:v>
      </x:c>
      <x:c r="E254" s="19" t="str">
        <x:v>RaveldeathandapparatusdestructiondoNOTkillcore, opengateortransferwholedungeonownership.</x:v>
      </x:c>
      <x:c r="F254" s="19" t="str">
        <x:v>Planned</x:v>
      </x:c>
    </x:row>
    <x:row r="255" ht="28" customHeight="1">
      <x:c r="A255" s="17" t="str">
        <x:v>F248</x:v>
      </x:c>
      <x:c r="B255" s="51" t="n">
        <x:v>19</x:v>
      </x:c>
      <x:c r="C255" s="17" t="str">
        <x:v>Constraint</x:v>
      </x:c>
      <x:c r="D255" s="20" t="str">
        <x:v>Constraint 4</x:v>
      </x:c>
      <x:c r="E255" s="20" t="str">
        <x:v>Rootmustadoptphysicalstop/defeatgeometrybeforeprose.</x:v>
      </x:c>
      <x:c r="F255" s="20" t="str">
        <x:v>Planned</x:v>
      </x:c>
    </x:row>
    <x:row r="256" ht="48" customHeight="1">
      <x:c r="A256" s="2" t="str">
        <x:v>F249</x:v>
      </x:c>
      <x:c r="B256" s="50" t="n">
        <x:v>19</x:v>
      </x:c>
      <x:c r="C256" s="2" t="str">
        <x:v>Constraint</x:v>
      </x:c>
      <x:c r="D256" s="19" t="str">
        <x:v>Constraint 5</x:v>
      </x:c>
      <x:c r="E256" s="19" t="str">
        <x:v>Jory, Lena and Ben remain in secured gatewalk E behind the actual watched doorway. Eda and Cal help ordinary supply transfer outside the boss attack lane. They are not silently inside Ward or Bulwark protection.</x:v>
      </x:c>
      <x:c r="F256" s="19" t="str">
        <x:v>Planned</x:v>
      </x:c>
    </x:row>
    <x:row r="257" ht="32" customHeight="1">
      <x:c r="A257" s="17" t="str">
        <x:v>F250</x:v>
      </x:c>
      <x:c r="B257" s="51" t="n">
        <x:v>20</x:v>
      </x:c>
      <x:c r="C257" s="17" t="str">
        <x:v>Custody</x:v>
      </x:c>
      <x:c r="D257" s="20" t="str">
        <x:v>source_stone</x:v>
      </x:c>
      <x:c r="E257" s="20" t="str">
        <x:v>Kip carries source stone outside; playbackafterescape shows storedEarthrecordingandreferenceonly, no liveNoah/contact/portal.</x:v>
      </x:c>
      <x:c r="F257" s="20" t="str">
        <x:v>Planned</x:v>
      </x:c>
    </x:row>
    <x:row r="258" ht="28" customHeight="1">
      <x:c r="A258" s="2" t="str">
        <x:v>F251</x:v>
      </x:c>
      <x:c r="B258" s="50" t="n">
        <x:v>20</x:v>
      </x:c>
      <x:c r="C258" s="2" t="str">
        <x:v>Custody</x:v>
      </x:c>
      <x:c r="D258" s="19" t="str">
        <x:v>Jory_litter</x:v>
      </x:c>
      <x:c r="E258" s="19" t="str">
        <x:v>Workers carry Jory outside; no restoredwalking.</x:v>
      </x:c>
      <x:c r="F258" s="19" t="str">
        <x:v>Planned</x:v>
      </x:c>
    </x:row>
    <x:row r="259" ht="28" customHeight="1">
      <x:c r="A259" s="17" t="str">
        <x:v>F252</x:v>
      </x:c>
      <x:c r="B259" s="51" t="n">
        <x:v>20</x:v>
      </x:c>
      <x:c r="C259" s="17" t="str">
        <x:v>Custody</x:v>
      </x:c>
      <x:c r="D259" s="20" t="str">
        <x:v>gate_rig</x:v>
      </x:c>
      <x:c r="E259" s="20" t="str">
        <x:v>Ordinaryfiniteexpeditionropeandloadsupports usedbyconsent; notclassloot.</x:v>
      </x:c>
      <x:c r="F259" s="20" t="str">
        <x:v>Planned</x:v>
      </x:c>
    </x:row>
    <x:row r="260" ht="28" customHeight="1">
      <x:c r="A260" s="2" t="str">
        <x:v>F253</x:v>
      </x:c>
      <x:c r="B260" s="50" t="n">
        <x:v>20</x:v>
      </x:c>
      <x:c r="C260" s="2" t="str">
        <x:v>Constraint</x:v>
      </x:c>
      <x:c r="D260" s="19" t="str">
        <x:v>Constraint 1</x:v>
      </x:c>
      <x:c r="E260" s="19" t="str">
        <x:v>Allnineplannedtravelersgetoutside; MiraDunnwelcomesandhelpsbutisnotnewdungeonrescue.</x:v>
      </x:c>
      <x:c r="F260" s="19" t="str">
        <x:v>Planned</x:v>
      </x:c>
    </x:row>
    <x:row r="261" ht="28" customHeight="1">
      <x:c r="A261" s="17" t="str">
        <x:v>F254</x:v>
      </x:c>
      <x:c r="B261" s="51" t="n">
        <x:v>20</x:v>
      </x:c>
      <x:c r="C261" s="17" t="str">
        <x:v>Constraint</x:v>
      </x:c>
      <x:c r="D261" s="20" t="str">
        <x:v>Constraint 2</x:v>
      </x:c>
      <x:c r="E261" s="20" t="str">
        <x:v>Distinctgateevacuationevent100, notanotherRavelkillaward.</x:v>
      </x:c>
      <x:c r="F261" s="20" t="str">
        <x:v>Planned</x:v>
      </x:c>
    </x:row>
    <x:row r="262" ht="28" customHeight="1">
      <x:c r="A262" s="2" t="str">
        <x:v>F255</x:v>
      </x:c>
      <x:c r="B262" s="50" t="n">
        <x:v>20</x:v>
      </x:c>
      <x:c r="C262" s="2" t="str">
        <x:v>Constraint</x:v>
      </x:c>
      <x:c r="D262" s="19" t="str">
        <x:v>Constraint 3</x:v>
      </x:c>
      <x:c r="E262" s="19" t="str">
        <x:v>Mira introducedwithroleandaim; no inventedhealingthatfixesfractures.</x:v>
      </x:c>
      <x:c r="F262" s="19" t="str">
        <x:v>Planned</x:v>
      </x:c>
    </x:row>
    <x:row r="263" ht="28" customHeight="1">
      <x:c r="A263" s="17" t="str">
        <x:v>F256</x:v>
      </x:c>
      <x:c r="B263" s="51" t="n">
        <x:v>20</x:v>
      </x:c>
      <x:c r="C263" s="17" t="str">
        <x:v>Constraint</x:v>
      </x:c>
      <x:c r="D263" s="20" t="str">
        <x:v>Constraint 4</x:v>
      </x:c>
      <x:c r="E263" s="20" t="str">
        <x:v>No level10trialperformedforKip: ends9. Tessa10, Owen/Dane12 have uncompletedtrialopportunities.</x:v>
      </x:c>
      <x:c r="F263" s="20" t="str">
        <x:v>Planned</x:v>
      </x:c>
    </x:row>
    <x:row r="264" ht="28" customHeight="1">
      <x:c r="A264" s="2" t="str">
        <x:v>F257</x:v>
      </x:c>
      <x:c r="B264" s="50" t="n">
        <x:v>0</x:v>
      </x:c>
      <x:c r="C264" s="2" t="str">
        <x:v>Event detail</x:v>
      </x:c>
      <x:c r="D264" s="19" t="str">
        <x:v>PRE01 Tessa: target</x:v>
      </x:c>
      <x:c r="E264" s="19" t="str">
        <x:v>fresh pursuit tracks</x:v>
      </x:c>
      <x:c r="F264" s="19" t="str">
        <x:v>Planned</x:v>
      </x:c>
    </x:row>
    <x:row r="265" ht="28" customHeight="1">
      <x:c r="A265" s="17" t="str">
        <x:v>F258</x:v>
      </x:c>
      <x:c r="B265" s="51" t="n">
        <x:v>0</x:v>
      </x:c>
      <x:c r="C265" s="17" t="str">
        <x:v>Event detail</x:v>
      </x:c>
      <x:c r="D265" s="20" t="str">
        <x:v>PRE01 Tessa: seconds_before_arrival</x:v>
      </x:c>
      <x:c r="E265" s="61" t="n">
        <x:v>105</x:v>
      </x:c>
      <x:c r="F265" s="20" t="str">
        <x:v>Planned</x:v>
      </x:c>
    </x:row>
    <x:row r="266" ht="28" customHeight="1">
      <x:c r="A266" s="2" t="str">
        <x:v>F259</x:v>
      </x:c>
      <x:c r="B266" s="50" t="n">
        <x:v>0</x:v>
      </x:c>
      <x:c r="C266" s="2" t="str">
        <x:v>Event detail</x:v>
      </x:c>
      <x:c r="D266" s="19" t="str">
        <x:v>PRE02 Owen: target</x:v>
      </x:c>
      <x:c r="E266" s="19" t="str">
        <x:v>Jory shallow leg cut</x:v>
      </x:c>
      <x:c r="F266" s="19" t="str">
        <x:v>Planned</x:v>
      </x:c>
    </x:row>
    <x:row r="267" ht="28" customHeight="1">
      <x:c r="A267" s="17" t="str">
        <x:v>F260</x:v>
      </x:c>
      <x:c r="B267" s="51" t="n">
        <x:v>0</x:v>
      </x:c>
      <x:c r="C267" s="17" t="str">
        <x:v>Event detail</x:v>
      </x:c>
      <x:c r="D267" s="20" t="str">
        <x:v>PRE02 Owen: seconds_before_arrival</x:v>
      </x:c>
      <x:c r="E267" s="61" t="n">
        <x:v>95</x:v>
      </x:c>
      <x:c r="F267" s="20" t="str">
        <x:v>Planned</x:v>
      </x:c>
    </x:row>
    <x:row r="268" ht="28" customHeight="1">
      <x:c r="A268" s="2" t="str">
        <x:v>F261</x:v>
      </x:c>
      <x:c r="B268" s="50" t="n">
        <x:v>0</x:v>
      </x:c>
      <x:c r="C268" s="2" t="str">
        <x:v>Event detail</x:v>
      </x:c>
      <x:c r="D268" s="19" t="str">
        <x:v>PRE03 Dane: target</x:v>
      </x:c>
      <x:c r="E268" s="19" t="str">
        <x:v>Jory</x:v>
      </x:c>
      <x:c r="F268" s="19" t="str">
        <x:v>Planned</x:v>
      </x:c>
    </x:row>
    <x:row r="269" ht="28" customHeight="1">
      <x:c r="A269" s="17" t="str">
        <x:v>F262</x:v>
      </x:c>
      <x:c r="B269" s="51" t="n">
        <x:v>0</x:v>
      </x:c>
      <x:c r="C269" s="17" t="str">
        <x:v>Event detail</x:v>
      </x:c>
      <x:c r="D269" s="20" t="str">
        <x:v>PRE03 Dane: seconds_before_arrival</x:v>
      </x:c>
      <x:c r="E269" s="61" t="n">
        <x:v>90</x:v>
      </x:c>
      <x:c r="F269" s="20" t="str">
        <x:v>Planned</x:v>
      </x:c>
    </x:row>
    <x:row r="270" ht="28" customHeight="1">
      <x:c r="A270" s="2" t="str">
        <x:v>F263</x:v>
      </x:c>
      <x:c r="B270" s="50" t="n">
        <x:v>0</x:v>
      </x:c>
      <x:c r="C270" s="2" t="str">
        <x:v>Event detail</x:v>
      </x:c>
      <x:c r="D270" s="19" t="str">
        <x:v>PRE04 Tessa: target</x:v>
      </x:c>
      <x:c r="E270" s="19" t="str">
        <x:v>clear retreat path</x:v>
      </x:c>
      <x:c r="F270" s="19" t="str">
        <x:v>Planned</x:v>
      </x:c>
    </x:row>
    <x:row r="271" ht="28" customHeight="1">
      <x:c r="A271" s="17" t="str">
        <x:v>F264</x:v>
      </x:c>
      <x:c r="B271" s="51" t="n">
        <x:v>0</x:v>
      </x:c>
      <x:c r="C271" s="17" t="str">
        <x:v>Event detail</x:v>
      </x:c>
      <x:c r="D271" s="20" t="str">
        <x:v>PRE04 Tessa: seconds_before_arrival</x:v>
      </x:c>
      <x:c r="E271" s="61" t="n">
        <x:v>80</x:v>
      </x:c>
      <x:c r="F271" s="20" t="str">
        <x:v>Planned</x:v>
      </x:c>
    </x:row>
    <x:row r="272" ht="28" customHeight="1">
      <x:c r="A272" s="2" t="str">
        <x:v>F265</x:v>
      </x:c>
      <x:c r="B272" s="50" t="n">
        <x:v>0</x:v>
      </x:c>
      <x:c r="C272" s="2" t="str">
        <x:v>Event detail</x:v>
      </x:c>
      <x:c r="D272" s="19" t="str">
        <x:v>PRE05 Owen: target</x:v>
      </x:c>
      <x:c r="E272" s="19" t="str">
        <x:v>same Jory leg cut</x:v>
      </x:c>
      <x:c r="F272" s="19" t="str">
        <x:v>Planned</x:v>
      </x:c>
    </x:row>
    <x:row r="273" ht="28" customHeight="1">
      <x:c r="A273" s="17" t="str">
        <x:v>F266</x:v>
      </x:c>
      <x:c r="B273" s="51" t="n">
        <x:v>0</x:v>
      </x:c>
      <x:c r="C273" s="17" t="str">
        <x:v>Event detail</x:v>
      </x:c>
      <x:c r="D273" s="20" t="str">
        <x:v>PRE05 Owen: note</x:v>
      </x:c>
      <x:c r="E273" s="20" t="str">
        <x:v>20 seconds; permanent closure completes at -50s; fracture remains.</x:v>
      </x:c>
      <x:c r="F273" s="20" t="str">
        <x:v>Planned</x:v>
      </x:c>
    </x:row>
    <x:row r="274" ht="28" customHeight="1">
      <x:c r="A274" s="2" t="str">
        <x:v>F267</x:v>
      </x:c>
      <x:c r="B274" s="50" t="n">
        <x:v>0</x:v>
      </x:c>
      <x:c r="C274" s="2" t="str">
        <x:v>Event detail</x:v>
      </x:c>
      <x:c r="D274" s="19" t="str">
        <x:v>PRE05 Owen: seconds_before_arrival</x:v>
      </x:c>
      <x:c r="E274" s="60" t="n">
        <x:v>70</x:v>
      </x:c>
      <x:c r="F274" s="19" t="str">
        <x:v>Planned</x:v>
      </x:c>
    </x:row>
    <x:row r="275" ht="28" customHeight="1">
      <x:c r="A275" s="17" t="str">
        <x:v>F268</x:v>
      </x:c>
      <x:c r="B275" s="51" t="n">
        <x:v>0</x:v>
      </x:c>
      <x:c r="C275" s="17" t="str">
        <x:v>Event detail</x:v>
      </x:c>
      <x:c r="D275" s="20" t="str">
        <x:v>PRE06 Dane: target</x:v>
      </x:c>
      <x:c r="E275" s="20" t="str">
        <x:v>frontal retreat lane</x:v>
      </x:c>
      <x:c r="F275" s="20" t="str">
        <x:v>Planned</x:v>
      </x:c>
    </x:row>
    <x:row r="276" ht="28" customHeight="1">
      <x:c r="A276" s="2" t="str">
        <x:v>F269</x:v>
      </x:c>
      <x:c r="B276" s="50" t="n">
        <x:v>0</x:v>
      </x:c>
      <x:c r="C276" s="2" t="str">
        <x:v>Event detail</x:v>
      </x:c>
      <x:c r="D276" s="19" t="str">
        <x:v>PRE06 Dane: note</x:v>
      </x:c>
      <x:c r="E276" s="19" t="str">
        <x:v>Interpose bonus has ended; no own multiplier stack.</x:v>
      </x:c>
      <x:c r="F276" s="19" t="str">
        <x:v>Planned</x:v>
      </x:c>
    </x:row>
    <x:row r="277" ht="28" customHeight="1">
      <x:c r="A277" s="17" t="str">
        <x:v>F270</x:v>
      </x:c>
      <x:c r="B277" s="51" t="n">
        <x:v>0</x:v>
      </x:c>
      <x:c r="C277" s="17" t="str">
        <x:v>Event detail</x:v>
      </x:c>
      <x:c r="D277" s="20" t="str">
        <x:v>PRE06 Dane: seconds_before_arrival</x:v>
      </x:c>
      <x:c r="E277" s="61" t="n">
        <x:v>60</x:v>
      </x:c>
      <x:c r="F277" s="20" t="str">
        <x:v>Planned</x:v>
      </x:c>
    </x:row>
    <x:row r="278" ht="28" customHeight="1">
      <x:c r="A278" s="2" t="str">
        <x:v>F271</x:v>
      </x:c>
      <x:c r="B278" s="50" t="n">
        <x:v>1</x:v>
      </x:c>
      <x:c r="C278" s="2" t="str">
        <x:v>Event detail</x:v>
      </x:c>
      <x:c r="D278" s="19" t="str">
        <x:v>C01E01 Tessa: target</x:v>
      </x:c>
      <x:c r="E278" s="19" t="str">
        <x:v>visible clear path; never carries Jory</x:v>
      </x:c>
      <x:c r="F278" s="19" t="str">
        <x:v>Planned</x:v>
      </x:c>
    </x:row>
    <x:row r="279" ht="28" customHeight="1">
      <x:c r="A279" s="17" t="str">
        <x:v>F272</x:v>
      </x:c>
      <x:c r="B279" s="51" t="n">
        <x:v>1</x:v>
      </x:c>
      <x:c r="C279" s="17" t="str">
        <x:v>Event detail</x:v>
      </x:c>
      <x:c r="D279" s="20" t="str">
        <x:v>C01E01 Tessa: geometry.path_length_m</x:v>
      </x:c>
      <x:c r="E279" s="61" t="n">
        <x:v>8</x:v>
      </x:c>
      <x:c r="F279" s="20" t="str">
        <x:v>Planned</x:v>
      </x:c>
    </x:row>
    <x:row r="280" ht="32" customHeight="1">
      <x:c r="A280" s="2" t="str">
        <x:v>F273</x:v>
      </x:c>
      <x:c r="B280" s="50" t="n">
        <x:v>1</x:v>
      </x:c>
      <x:c r="C280" s="2" t="str">
        <x:v>Event detail</x:v>
      </x:c>
      <x:c r="D280" s="19" t="str">
        <x:v>C01E01 Tessa: geometry.visible_traversable_physical_path</x:v>
      </x:c>
      <x:c r="E280" s="58" t="b">
        <x:v>1</x:v>
      </x:c>
      <x:c r="F280" s="19" t="str">
        <x:v>Planned</x:v>
      </x:c>
    </x:row>
    <x:row r="281" ht="32" customHeight="1">
      <x:c r="A281" s="17" t="str">
        <x:v>F274</x:v>
      </x:c>
      <x:c r="B281" s="51" t="n">
        <x:v>1</x:v>
      </x:c>
      <x:c r="C281" s="17" t="str">
        <x:v>Event detail</x:v>
      </x:c>
      <x:c r="D281" s="20" t="str">
        <x:v>C01E01 Tessa: geometry.passes_through_creature_wall_or_restraint</x:v>
      </x:c>
      <x:c r="E281" s="59" t="b">
        <x:v>0</x:v>
      </x:c>
      <x:c r="F281" s="20" t="str">
        <x:v>Planned</x:v>
      </x:c>
    </x:row>
    <x:row r="282" ht="32" customHeight="1">
      <x:c r="A282" s="2" t="str">
        <x:v>F275</x:v>
      </x:c>
      <x:c r="B282" s="50" t="n">
        <x:v>1</x:v>
      </x:c>
      <x:c r="C282" s="2" t="str">
        <x:v>Event detail</x:v>
      </x:c>
      <x:c r="D282" s="19" t="str">
        <x:v>C01E01 Tessa: geometry.carries_another_adult</x:v>
      </x:c>
      <x:c r="E282" s="58" t="b">
        <x:v>0</x:v>
      </x:c>
      <x:c r="F282" s="19" t="str">
        <x:v>Planned</x:v>
      </x:c>
    </x:row>
    <x:row r="283" ht="32" customHeight="1">
      <x:c r="A283" s="17" t="str">
        <x:v>F276</x:v>
      </x:c>
      <x:c r="B283" s="51" t="n">
        <x:v>1</x:v>
      </x:c>
      <x:c r="C283" s="17" t="str">
        <x:v>Event detail</x:v>
      </x:c>
      <x:c r="D283" s="20" t="str">
        <x:v>C01E01 Tessa: geometry.crosses_otherwise_impossible_gap</x:v>
      </x:c>
      <x:c r="E283" s="59" t="b">
        <x:v>0</x:v>
      </x:c>
      <x:c r="F283" s="20" t="str">
        <x:v>Planned</x:v>
      </x:c>
    </x:row>
    <x:row r="284" ht="32" customHeight="1">
      <x:c r="A284" s="2" t="str">
        <x:v>F277</x:v>
      </x:c>
      <x:c r="B284" s="50" t="n">
        <x:v>1</x:v>
      </x:c>
      <x:c r="C284" s="2" t="str">
        <x:v>Event detail</x:v>
      </x:c>
      <x:c r="D284" s="19" t="str">
        <x:v>C01E01 Tessa: geometry.hazard_immunity_assumed</x:v>
      </x:c>
      <x:c r="E284" s="58" t="b">
        <x:v>0</x:v>
      </x:c>
      <x:c r="F284" s="19" t="str">
        <x:v>Planned</x:v>
      </x:c>
    </x:row>
    <x:row r="285" ht="28" customHeight="1">
      <x:c r="A285" s="17" t="str">
        <x:v>F278</x:v>
      </x:c>
      <x:c r="B285" s="51" t="n">
        <x:v>1</x:v>
      </x:c>
      <x:c r="C285" s="17" t="str">
        <x:v>Event detail</x:v>
      </x:c>
      <x:c r="D285" s="20" t="str">
        <x:v>C01E02 Kip: target</x:v>
      </x:c>
      <x:c r="E285" s="20" t="str">
        <x:v>retreat dart launcher</x:v>
      </x:c>
      <x:c r="F285" s="20" t="str">
        <x:v>Planned</x:v>
      </x:c>
    </x:row>
    <x:row r="286" ht="28" customHeight="1">
      <x:c r="A286" s="2" t="str">
        <x:v>F279</x:v>
      </x:c>
      <x:c r="B286" s="50" t="n">
        <x:v>1</x:v>
      </x:c>
      <x:c r="C286" s="2" t="str">
        <x:v>Event detail</x:v>
      </x:c>
      <x:c r="D286" s="19" t="str">
        <x:v>C01E02 Kip: note</x:v>
      </x:c>
      <x:c r="E286" s="19" t="str">
        <x:v>Inspected at 8m; Tessa clears normal 25-degree firing arc.</x:v>
      </x:c>
      <x:c r="F286" s="19" t="str">
        <x:v>Planned</x:v>
      </x:c>
    </x:row>
    <x:row r="287" ht="28" customHeight="1">
      <x:c r="A287" s="17" t="str">
        <x:v>F280</x:v>
      </x:c>
      <x:c r="B287" s="51" t="n">
        <x:v>1</x:v>
      </x:c>
      <x:c r="C287" s="17" t="str">
        <x:v>Event detail</x:v>
      </x:c>
      <x:c r="D287" s="20" t="str">
        <x:v>C01E02 Kip: control_seconds</x:v>
      </x:c>
      <x:c r="E287" s="61" t="n">
        <x:v>1</x:v>
      </x:c>
      <x:c r="F287" s="20" t="str">
        <x:v>Planned</x:v>
      </x:c>
    </x:row>
    <x:row r="288" ht="28" customHeight="1">
      <x:c r="A288" s="2" t="str">
        <x:v>F281</x:v>
      </x:c>
      <x:c r="B288" s="50" t="n">
        <x:v>1</x:v>
      </x:c>
      <x:c r="C288" s="2" t="str">
        <x:v>Event detail</x:v>
      </x:c>
      <x:c r="D288" s="19" t="str">
        <x:v>C01E02 Kip: geometry.distance_m</x:v>
      </x:c>
      <x:c r="E288" s="60" t="n">
        <x:v>8</x:v>
      </x:c>
      <x:c r="F288" s="19" t="str">
        <x:v>Planned</x:v>
      </x:c>
    </x:row>
    <x:row r="289" ht="32" customHeight="1">
      <x:c r="A289" s="17" t="str">
        <x:v>F282</x:v>
      </x:c>
      <x:c r="B289" s="51" t="n">
        <x:v>1</x:v>
      </x:c>
      <x:c r="C289" s="17" t="str">
        <x:v>Event detail</x:v>
      </x:c>
      <x:c r="D289" s="20" t="str">
        <x:v>C01E02 Kip: geometry.prior_sight_distance_m</x:v>
      </x:c>
      <x:c r="E289" s="61" t="n">
        <x:v>8</x:v>
      </x:c>
      <x:c r="F289" s="20" t="str">
        <x:v>Planned</x:v>
      </x:c>
    </x:row>
    <x:row r="290" ht="32" customHeight="1">
      <x:c r="A290" s="2" t="str">
        <x:v>F283</x:v>
      </x:c>
      <x:c r="B290" s="50" t="n">
        <x:v>1</x:v>
      </x:c>
      <x:c r="C290" s="2" t="str">
        <x:v>Event detail</x:v>
      </x:c>
      <x:c r="D290" s="19" t="str">
        <x:v>C01E02 Kip: geometry.prior_sight_attention_seconds</x:v>
      </x:c>
      <x:c r="E290" s="60" t="n">
        <x:v>1</x:v>
      </x:c>
      <x:c r="F290" s="19" t="str">
        <x:v>Planned</x:v>
      </x:c>
    </x:row>
    <x:row r="291" ht="28" customHeight="1">
      <x:c r="A291" s="17" t="str">
        <x:v>F284</x:v>
      </x:c>
      <x:c r="B291" s="51" t="n">
        <x:v>1</x:v>
      </x:c>
      <x:c r="C291" s="17" t="str">
        <x:v>Event detail</x:v>
      </x:c>
      <x:c r="D291" s="20" t="str">
        <x:v>C01E02 Kip: geometry.visible_at_start</x:v>
      </x:c>
      <x:c r="E291" s="59" t="b">
        <x:v>1</x:v>
      </x:c>
      <x:c r="F291" s="20" t="str">
        <x:v>Planned</x:v>
      </x:c>
    </x:row>
    <x:row r="292" ht="32" customHeight="1">
      <x:c r="A292" s="2" t="str">
        <x:v>F285</x:v>
      </x:c>
      <x:c r="B292" s="50" t="n">
        <x:v>1</x:v>
      </x:c>
      <x:c r="C292" s="2" t="str">
        <x:v>Event detail</x:v>
      </x:c>
      <x:c r="D292" s="19" t="str">
        <x:v>C01E02 Kip: geometry.available_at_start</x:v>
      </x:c>
      <x:c r="E292" s="58" t="b">
        <x:v>1</x:v>
      </x:c>
      <x:c r="F292" s="19" t="str">
        <x:v>Planned</x:v>
      </x:c>
    </x:row>
    <x:row r="293" ht="32" customHeight="1">
      <x:c r="A293" s="17" t="str">
        <x:v>F286</x:v>
      </x:c>
      <x:c r="B293" s="51" t="n">
        <x:v>1</x:v>
      </x:c>
      <x:c r="C293" s="17" t="str">
        <x:v>Event detail</x:v>
      </x:c>
      <x:c r="D293" s="20" t="str">
        <x:v>C01E02 Kip: geometry.within_normal_mechanical_arc</x:v>
      </x:c>
      <x:c r="E293" s="59" t="b">
        <x:v>1</x:v>
      </x:c>
      <x:c r="F293" s="20" t="str">
        <x:v>Planned</x:v>
      </x:c>
    </x:row>
    <x:row r="294" ht="28" customHeight="1">
      <x:c r="A294" s="2" t="str">
        <x:v>F287</x:v>
      </x:c>
      <x:c r="B294" s="50" t="n">
        <x:v>1</x:v>
      </x:c>
      <x:c r="C294" s="2" t="str">
        <x:v>Event detail</x:v>
      </x:c>
      <x:c r="D294" s="19" t="str">
        <x:v>C01E02 Kip: geometry.ready_at_start</x:v>
      </x:c>
      <x:c r="E294" s="58" t="b">
        <x:v>1</x:v>
      </x:c>
      <x:c r="F294" s="19" t="str">
        <x:v>Planned</x:v>
      </x:c>
    </x:row>
    <x:row r="295" ht="32" customHeight="1">
      <x:c r="A295" s="17" t="str">
        <x:v>F288</x:v>
      </x:c>
      <x:c r="B295" s="51" t="n">
        <x:v>1</x:v>
      </x:c>
      <x:c r="C295" s="17" t="str">
        <x:v>Event detail</x:v>
      </x:c>
      <x:c r="D295" s="20" t="str">
        <x:v>C01E02 Kip: geometry.target_is_constructed_fixture</x:v>
      </x:c>
      <x:c r="E295" s="59" t="b">
        <x:v>1</x:v>
      </x:c>
      <x:c r="F295" s="20" t="str">
        <x:v>Planned</x:v>
      </x:c>
    </x:row>
    <x:row r="296" ht="32" customHeight="1">
      <x:c r="A296" s="2" t="str">
        <x:v>F289</x:v>
      </x:c>
      <x:c r="B296" s="50" t="n">
        <x:v>1</x:v>
      </x:c>
      <x:c r="C296" s="2" t="str">
        <x:v>Event detail</x:v>
      </x:c>
      <x:c r="D296" s="19" t="str">
        <x:v>C01E02 Kip: geometry.shield_removed_physically_if_any</x:v>
      </x:c>
      <x:c r="E296" s="58" t="b">
        <x:v>1</x:v>
      </x:c>
      <x:c r="F296" s="19" t="str">
        <x:v>Planned</x:v>
      </x:c>
    </x:row>
    <x:row r="297" ht="28" customHeight="1">
      <x:c r="A297" s="17" t="str">
        <x:v>F290</x:v>
      </x:c>
      <x:c r="B297" s="51" t="n">
        <x:v>1</x:v>
      </x:c>
      <x:c r="C297" s="17" t="str">
        <x:v>Event detail</x:v>
      </x:c>
      <x:c r="D297" s="20" t="str">
        <x:v>C01E02 Kip: outcome</x:v>
      </x:c>
      <x:c r="E297" s="20" t="str">
        <x:v>ordinary legal fixture function, no strengthened output</x:v>
      </x:c>
      <x:c r="F297" s="20" t="str">
        <x:v>Planned</x:v>
      </x:c>
    </x:row>
    <x:row r="298" ht="28" customHeight="1">
      <x:c r="A298" s="2" t="str">
        <x:v>F291</x:v>
      </x:c>
      <x:c r="B298" s="50" t="n">
        <x:v>1</x:v>
      </x:c>
      <x:c r="C298" s="2" t="str">
        <x:v>Event detail</x:v>
      </x:c>
      <x:c r="D298" s="19" t="str">
        <x:v>C01E03 Dane: target</x:v>
      </x:c>
      <x:c r="E298" s="19" t="str">
        <x:v>front of litter retreat</x:v>
      </x:c>
      <x:c r="F298" s="19" t="str">
        <x:v>Planned</x:v>
      </x:c>
    </x:row>
    <x:row r="299" ht="32" customHeight="1">
      <x:c r="A299" s="17" t="str">
        <x:v>F292</x:v>
      </x:c>
      <x:c r="B299" s="51" t="n">
        <x:v>1</x:v>
      </x:c>
      <x:c r="C299" s="17" t="str">
        <x:v>Event detail</x:v>
      </x:c>
      <x:c r="D299" s="20" t="str">
        <x:v>C01E03 Dane: geometry.weapon_raised_in_right_hand</x:v>
      </x:c>
      <x:c r="E299" s="59" t="b">
        <x:v>1</x:v>
      </x:c>
      <x:c r="F299" s="20" t="str">
        <x:v>Planned</x:v>
      </x:c>
    </x:row>
    <x:row r="300" ht="28" customHeight="1">
      <x:c r="A300" s="2" t="str">
        <x:v>F293</x:v>
      </x:c>
      <x:c r="B300" s="50" t="n">
        <x:v>1</x:v>
      </x:c>
      <x:c r="C300" s="2" t="str">
        <x:v>Event detail</x:v>
      </x:c>
      <x:c r="D300" s="19" t="str">
        <x:v>C01E03 Dane: geometry.effect_seconds</x:v>
      </x:c>
      <x:c r="E300" s="60" t="n">
        <x:v>8</x:v>
      </x:c>
      <x:c r="F300" s="19" t="str">
        <x:v>Planned</x:v>
      </x:c>
    </x:row>
    <x:row r="301" ht="32" customHeight="1">
      <x:c r="A301" s="17" t="str">
        <x:v>F294</x:v>
      </x:c>
      <x:c r="B301" s="51" t="n">
        <x:v>1</x:v>
      </x:c>
      <x:c r="C301" s="17" t="str">
        <x:v>Event detail</x:v>
      </x:c>
      <x:c r="D301" s="20" t="str">
        <x:v>C01E03 Dane: geometry.physical_attack_crosses_front</x:v>
      </x:c>
      <x:c r="E301" s="59" t="b">
        <x:v>1</x:v>
      </x:c>
      <x:c r="F301" s="20" t="str">
        <x:v>Planned</x:v>
      </x:c>
    </x:row>
    <x:row r="302" ht="32" customHeight="1">
      <x:c r="A302" s="2" t="str">
        <x:v>F295</x:v>
      </x:c>
      <x:c r="B302" s="50" t="n">
        <x:v>1</x:v>
      </x:c>
      <x:c r="C302" s="2" t="str">
        <x:v>Event detail</x:v>
      </x:c>
      <x:c r="D302" s="19" t="str">
        <x:v>C01E03 Dane: geometry.runs_or_attacks_during_effect</x:v>
      </x:c>
      <x:c r="E302" s="58" t="b">
        <x:v>0</x:v>
      </x:c>
      <x:c r="F302" s="19" t="str">
        <x:v>Planned</x:v>
      </x:c>
    </x:row>
    <x:row r="303" ht="32" customHeight="1">
      <x:c r="A303" s="17" t="str">
        <x:v>F296</x:v>
      </x:c>
      <x:c r="B303" s="51" t="n">
        <x:v>1</x:v>
      </x:c>
      <x:c r="C303" s="17" t="str">
        <x:v>Event detail</x:v>
      </x:c>
      <x:c r="D303" s="20" t="str">
        <x:v>C01E03 Dane: geometry.blocks_heat_poison_or_suffocation</x:v>
      </x:c>
      <x:c r="E303" s="59" t="b">
        <x:v>0</x:v>
      </x:c>
      <x:c r="F303" s="20" t="str">
        <x:v>Planned</x:v>
      </x:c>
    </x:row>
    <x:row r="304" ht="32" customHeight="1">
      <x:c r="A304" s="2" t="str">
        <x:v>F297</x:v>
      </x:c>
      <x:c r="B304" s="50" t="n">
        <x:v>1</x:v>
      </x:c>
      <x:c r="C304" s="2" t="str">
        <x:v>Event detail</x:v>
      </x:c>
      <x:c r="D304" s="19" t="str">
        <x:v>C01E03 Dane: geometry.reduced_force_still_can_hurt</x:v>
      </x:c>
      <x:c r="E304" s="58" t="b">
        <x:v>1</x:v>
      </x:c>
      <x:c r="F304" s="19" t="str">
        <x:v>Planned</x:v>
      </x:c>
    </x:row>
    <x:row r="305" ht="28" customHeight="1">
      <x:c r="A305" s="17" t="str">
        <x:v>F298</x:v>
      </x:c>
      <x:c r="B305" s="51" t="n">
        <x:v>1</x:v>
      </x:c>
      <x:c r="C305" s="17" t="str">
        <x:v>Event detail</x:v>
      </x:c>
      <x:c r="D305" s="20" t="str">
        <x:v>C01E04 Kip: target</x:v>
      </x:c>
      <x:c r="E305" s="20" t="str">
        <x:v>retreat pivot fire vent</x:v>
      </x:c>
      <x:c r="F305" s="20" t="str">
        <x:v>Planned</x:v>
      </x:c>
    </x:row>
    <x:row r="306" ht="28" customHeight="1">
      <x:c r="A306" s="2" t="str">
        <x:v>F299</x:v>
      </x:c>
      <x:c r="B306" s="50" t="n">
        <x:v>1</x:v>
      </x:c>
      <x:c r="C306" s="2" t="str">
        <x:v>Event detail</x:v>
      </x:c>
      <x:c r="D306" s="19" t="str">
        <x:v>C01E04 Kip: note</x:v>
      </x:c>
      <x:c r="E306" s="19" t="str">
        <x:v>At 7m; ordinary aiming fan; heat is offense, never Ward protection.</x:v>
      </x:c>
      <x:c r="F306" s="19" t="str">
        <x:v>Planned</x:v>
      </x:c>
    </x:row>
    <x:row r="307" ht="28" customHeight="1">
      <x:c r="A307" s="17" t="str">
        <x:v>F300</x:v>
      </x:c>
      <x:c r="B307" s="51" t="n">
        <x:v>1</x:v>
      </x:c>
      <x:c r="C307" s="17" t="str">
        <x:v>Event detail</x:v>
      </x:c>
      <x:c r="D307" s="20" t="str">
        <x:v>C01E04 Kip: control_seconds</x:v>
      </x:c>
      <x:c r="E307" s="61" t="n">
        <x:v>5</x:v>
      </x:c>
      <x:c r="F307" s="20" t="str">
        <x:v>Planned</x:v>
      </x:c>
    </x:row>
    <x:row r="308" ht="28" customHeight="1">
      <x:c r="A308" s="2" t="str">
        <x:v>F301</x:v>
      </x:c>
      <x:c r="B308" s="50" t="n">
        <x:v>1</x:v>
      </x:c>
      <x:c r="C308" s="2" t="str">
        <x:v>Event detail</x:v>
      </x:c>
      <x:c r="D308" s="19" t="str">
        <x:v>C01E04 Kip: geometry.distance_m</x:v>
      </x:c>
      <x:c r="E308" s="60" t="n">
        <x:v>7</x:v>
      </x:c>
      <x:c r="F308" s="19" t="str">
        <x:v>Planned</x:v>
      </x:c>
    </x:row>
    <x:row r="309" ht="32" customHeight="1">
      <x:c r="A309" s="17" t="str">
        <x:v>F302</x:v>
      </x:c>
      <x:c r="B309" s="51" t="n">
        <x:v>1</x:v>
      </x:c>
      <x:c r="C309" s="17" t="str">
        <x:v>Event detail</x:v>
      </x:c>
      <x:c r="D309" s="20" t="str">
        <x:v>C01E04 Kip: geometry.prior_sight_distance_m</x:v>
      </x:c>
      <x:c r="E309" s="61" t="n">
        <x:v>7</x:v>
      </x:c>
      <x:c r="F309" s="20" t="str">
        <x:v>Planned</x:v>
      </x:c>
    </x:row>
    <x:row r="310" ht="32" customHeight="1">
      <x:c r="A310" s="2" t="str">
        <x:v>F303</x:v>
      </x:c>
      <x:c r="B310" s="50" t="n">
        <x:v>1</x:v>
      </x:c>
      <x:c r="C310" s="2" t="str">
        <x:v>Event detail</x:v>
      </x:c>
      <x:c r="D310" s="19" t="str">
        <x:v>C01E04 Kip: geometry.prior_sight_attention_seconds</x:v>
      </x:c>
      <x:c r="E310" s="60" t="n">
        <x:v>1</x:v>
      </x:c>
      <x:c r="F310" s="19" t="str">
        <x:v>Planned</x:v>
      </x:c>
    </x:row>
    <x:row r="311" ht="28" customHeight="1">
      <x:c r="A311" s="17" t="str">
        <x:v>F304</x:v>
      </x:c>
      <x:c r="B311" s="51" t="n">
        <x:v>1</x:v>
      </x:c>
      <x:c r="C311" s="17" t="str">
        <x:v>Event detail</x:v>
      </x:c>
      <x:c r="D311" s="20" t="str">
        <x:v>C01E04 Kip: geometry.visible_at_start</x:v>
      </x:c>
      <x:c r="E311" s="59" t="b">
        <x:v>1</x:v>
      </x:c>
      <x:c r="F311" s="20" t="str">
        <x:v>Planned</x:v>
      </x:c>
    </x:row>
    <x:row r="312" ht="32" customHeight="1">
      <x:c r="A312" s="2" t="str">
        <x:v>F305</x:v>
      </x:c>
      <x:c r="B312" s="50" t="n">
        <x:v>1</x:v>
      </x:c>
      <x:c r="C312" s="2" t="str">
        <x:v>Event detail</x:v>
      </x:c>
      <x:c r="D312" s="19" t="str">
        <x:v>C01E04 Kip: geometry.available_at_start</x:v>
      </x:c>
      <x:c r="E312" s="58" t="b">
        <x:v>1</x:v>
      </x:c>
      <x:c r="F312" s="19" t="str">
        <x:v>Planned</x:v>
      </x:c>
    </x:row>
    <x:row r="313" ht="32" customHeight="1">
      <x:c r="A313" s="17" t="str">
        <x:v>F306</x:v>
      </x:c>
      <x:c r="B313" s="51" t="n">
        <x:v>1</x:v>
      </x:c>
      <x:c r="C313" s="17" t="str">
        <x:v>Event detail</x:v>
      </x:c>
      <x:c r="D313" s="20" t="str">
        <x:v>C01E04 Kip: geometry.within_normal_mechanical_arc</x:v>
      </x:c>
      <x:c r="E313" s="59" t="b">
        <x:v>1</x:v>
      </x:c>
      <x:c r="F313" s="20" t="str">
        <x:v>Planned</x:v>
      </x:c>
    </x:row>
    <x:row r="314" ht="28" customHeight="1">
      <x:c r="A314" s="2" t="str">
        <x:v>F307</x:v>
      </x:c>
      <x:c r="B314" s="50" t="n">
        <x:v>1</x:v>
      </x:c>
      <x:c r="C314" s="2" t="str">
        <x:v>Event detail</x:v>
      </x:c>
      <x:c r="D314" s="19" t="str">
        <x:v>C01E04 Kip: geometry.ready_at_start</x:v>
      </x:c>
      <x:c r="E314" s="58" t="b">
        <x:v>1</x:v>
      </x:c>
      <x:c r="F314" s="19" t="str">
        <x:v>Planned</x:v>
      </x:c>
    </x:row>
    <x:row r="315" ht="32" customHeight="1">
      <x:c r="A315" s="17" t="str">
        <x:v>F308</x:v>
      </x:c>
      <x:c r="B315" s="51" t="n">
        <x:v>1</x:v>
      </x:c>
      <x:c r="C315" s="17" t="str">
        <x:v>Event detail</x:v>
      </x:c>
      <x:c r="D315" s="20" t="str">
        <x:v>C01E04 Kip: geometry.target_is_constructed_fixture</x:v>
      </x:c>
      <x:c r="E315" s="59" t="b">
        <x:v>1</x:v>
      </x:c>
      <x:c r="F315" s="20" t="str">
        <x:v>Planned</x:v>
      </x:c>
    </x:row>
    <x:row r="316" ht="32" customHeight="1">
      <x:c r="A316" s="2" t="str">
        <x:v>F309</x:v>
      </x:c>
      <x:c r="B316" s="50" t="n">
        <x:v>1</x:v>
      </x:c>
      <x:c r="C316" s="2" t="str">
        <x:v>Event detail</x:v>
      </x:c>
      <x:c r="D316" s="19" t="str">
        <x:v>C01E04 Kip: geometry.shield_removed_physically_if_any</x:v>
      </x:c>
      <x:c r="E316" s="58" t="b">
        <x:v>1</x:v>
      </x:c>
      <x:c r="F316" s="19" t="str">
        <x:v>Planned</x:v>
      </x:c>
    </x:row>
    <x:row r="317" ht="28" customHeight="1">
      <x:c r="A317" s="17" t="str">
        <x:v>F310</x:v>
      </x:c>
      <x:c r="B317" s="51" t="n">
        <x:v>1</x:v>
      </x:c>
      <x:c r="C317" s="17" t="str">
        <x:v>Event detail</x:v>
      </x:c>
      <x:c r="D317" s="20" t="str">
        <x:v>C01E04 Kip: outcome</x:v>
      </x:c>
      <x:c r="E317" s="20" t="str">
        <x:v>ordinary legal fixture function, no strengthened output</x:v>
      </x:c>
      <x:c r="F317" s="20" t="str">
        <x:v>Planned</x:v>
      </x:c>
    </x:row>
    <x:row r="318" ht="28" customHeight="1">
      <x:c r="A318" s="2" t="str">
        <x:v>F311</x:v>
      </x:c>
      <x:c r="B318" s="50" t="n">
        <x:v>1</x:v>
      </x:c>
      <x:c r="C318" s="2" t="str">
        <x:v>Event detail</x:v>
      </x:c>
      <x:c r="D318" s="19" t="str">
        <x:v>C01E05 Owen: target</x:v>
      </x:c>
      <x:c r="E318" s="19" t="str">
        <x:v>Kip 8cm-long, 0.4cm-deep forearm cut</x:v>
      </x:c>
      <x:c r="F318" s="19" t="str">
        <x:v>Planned</x:v>
      </x:c>
    </x:row>
    <x:row r="319" ht="32" customHeight="1">
      <x:c r="A319" s="17" t="str">
        <x:v>F312</x:v>
      </x:c>
      <x:c r="B319" s="51" t="n">
        <x:v>1</x:v>
      </x:c>
      <x:c r="C319" s="17" t="str">
        <x:v>Event detail</x:v>
      </x:c>
      <x:c r="D319" s="20" t="str">
        <x:v>C01E05 Owen: note</x:v>
      </x:c>
      <x:c r="E319" s="20" t="str">
        <x:v>After fire and physical door closure: twenty seconds of protected contact through08:02:30. Tissue present/aligned. No seated recovery is taken.</x:v>
      </x:c>
      <x:c r="F319" s="20" t="str">
        <x:v>Planned</x:v>
      </x:c>
    </x:row>
    <x:row r="320" ht="28" customHeight="1">
      <x:c r="A320" s="2" t="str">
        <x:v>F313</x:v>
      </x:c>
      <x:c r="B320" s="50" t="n">
        <x:v>1</x:v>
      </x:c>
      <x:c r="C320" s="2" t="str">
        <x:v>Event detail</x:v>
      </x:c>
      <x:c r="D320" s="19" t="str">
        <x:v>C01E05 Owen: geometry.wound_length_cm</x:v>
      </x:c>
      <x:c r="E320" s="60" t="n">
        <x:v>8</x:v>
      </x:c>
      <x:c r="F320" s="19" t="str">
        <x:v>Planned</x:v>
      </x:c>
    </x:row>
    <x:row r="321" ht="28" customHeight="1">
      <x:c r="A321" s="17" t="str">
        <x:v>F314</x:v>
      </x:c>
      <x:c r="B321" s="51" t="n">
        <x:v>1</x:v>
      </x:c>
      <x:c r="C321" s="17" t="str">
        <x:v>Event detail</x:v>
      </x:c>
      <x:c r="D321" s="20" t="str">
        <x:v>C01E05 Owen: geometry.wound_depth_cm</x:v>
      </x:c>
      <x:c r="E321" s="62" t="n">
        <x:v>0.4</x:v>
      </x:c>
      <x:c r="F321" s="20" t="str">
        <x:v>Planned</x:v>
      </x:c>
    </x:row>
    <x:row r="322" ht="28" customHeight="1">
      <x:c r="A322" s="2" t="str">
        <x:v>F315</x:v>
      </x:c>
      <x:c r="B322" s="50" t="n">
        <x:v>1</x:v>
      </x:c>
      <x:c r="C322" s="2" t="str">
        <x:v>Event detail</x:v>
      </x:c>
      <x:c r="D322" s="19" t="str">
        <x:v>C01E05 Owen: geometry.external_wound</x:v>
      </x:c>
      <x:c r="E322" s="58" t="b">
        <x:v>1</x:v>
      </x:c>
      <x:c r="F322" s="19" t="str">
        <x:v>Planned</x:v>
      </x:c>
    </x:row>
    <x:row r="323" ht="32" customHeight="1">
      <x:c r="A323" s="17" t="str">
        <x:v>F316</x:v>
      </x:c>
      <x:c r="B323" s="51" t="n">
        <x:v>1</x:v>
      </x:c>
      <x:c r="C323" s="17" t="str">
        <x:v>Event detail</x:v>
      </x:c>
      <x:c r="D323" s="20" t="str">
        <x:v>C01E05 Owen: geometry.tissue_present_and_aligned</x:v>
      </x:c>
      <x:c r="E323" s="59" t="b">
        <x:v>1</x:v>
      </x:c>
      <x:c r="F323" s="20" t="str">
        <x:v>Planned</x:v>
      </x:c>
    </x:row>
    <x:row r="324" ht="32" customHeight="1">
      <x:c r="A324" s="2" t="str">
        <x:v>F317</x:v>
      </x:c>
      <x:c r="B324" s="50" t="n">
        <x:v>1</x:v>
      </x:c>
      <x:c r="C324" s="2" t="str">
        <x:v>Event detail</x:v>
      </x:c>
      <x:c r="D324" s="19" t="str">
        <x:v>C01E05 Owen: geometry.uninterrupted_touch_seconds</x:v>
      </x:c>
      <x:c r="E324" s="60" t="n">
        <x:v>20</x:v>
      </x:c>
      <x:c r="F324" s="19" t="str">
        <x:v>Planned</x:v>
      </x:c>
    </x:row>
    <x:row r="325" ht="32" customHeight="1">
      <x:c r="A325" s="17" t="str">
        <x:v>F318</x:v>
      </x:c>
      <x:c r="B325" s="51" t="n">
        <x:v>1</x:v>
      </x:c>
      <x:c r="C325" s="17" t="str">
        <x:v>Event detail</x:v>
      </x:c>
      <x:c r="D325" s="20" t="str">
        <x:v>C01E05 Owen: geometry.repairs_bone_blood_organs_or_nerves</x:v>
      </x:c>
      <x:c r="E325" s="59" t="b">
        <x:v>0</x:v>
      </x:c>
      <x:c r="F325" s="20" t="str">
        <x:v>Planned</x:v>
      </x:c>
    </x:row>
    <x:row r="326" ht="32" customHeight="1">
      <x:c r="A326" s="2" t="str">
        <x:v>F319</x:v>
      </x:c>
      <x:c r="B326" s="50" t="n">
        <x:v>1</x:v>
      </x:c>
      <x:c r="C326" s="2" t="str">
        <x:v>Event detail</x:v>
      </x:c>
      <x:c r="D326" s="19" t="str">
        <x:v>C01E05 Owen: geometry.protected_position_for_channel_required_in_prose</x:v>
      </x:c>
      <x:c r="E326" s="58" t="b">
        <x:v>1</x:v>
      </x:c>
      <x:c r="F326" s="19" t="str">
        <x:v>Planned</x:v>
      </x:c>
    </x:row>
    <x:row r="327" ht="28" customHeight="1">
      <x:c r="A327" s="17" t="str">
        <x:v>F320</x:v>
      </x:c>
      <x:c r="B327" s="51" t="n">
        <x:v>2</x:v>
      </x:c>
      <x:c r="C327" s="17" t="str">
        <x:v>Event detail</x:v>
      </x:c>
      <x:c r="D327" s="20" t="str">
        <x:v>C02E01 Kip: target</x:v>
      </x:c>
      <x:c r="E327" s="20" t="str">
        <x:v>A: service chamber anchor</x:v>
      </x:c>
      <x:c r="F327" s="20" t="str">
        <x:v>Planned</x:v>
      </x:c>
    </x:row>
    <x:row r="328" ht="28" customHeight="1">
      <x:c r="A328" s="2" t="str">
        <x:v>F321</x:v>
      </x:c>
      <x:c r="B328" s="50" t="n">
        <x:v>2</x:v>
      </x:c>
      <x:c r="C328" s="2" t="str">
        <x:v>Event detail</x:v>
      </x:c>
      <x:c r="D328" s="19" t="str">
        <x:v>C02E01 Kip: note</x:v>
      </x:c>
      <x:c r="E328" s="19" t="str">
        <x:v>Cleared chamber 12m across; seal absent; all hostiles out; touch uninterrupted to 08:06:40.</x:v>
      </x:c>
      <x:c r="F328" s="19" t="str">
        <x:v>Planned</x:v>
      </x:c>
    </x:row>
    <x:row r="329" ht="32" customHeight="1">
      <x:c r="A329" s="17" t="str">
        <x:v>F322</x:v>
      </x:c>
      <x:c r="B329" s="51" t="n">
        <x:v>2</x:v>
      </x:c>
      <x:c r="C329" s="17" t="str">
        <x:v>Event detail</x:v>
      </x:c>
      <x:c r="D329" s="20" t="str">
        <x:v>C02E01 Kip: geometry.enclosed_room_max_width_m</x:v>
      </x:c>
      <x:c r="E329" s="61" t="n">
        <x:v>12</x:v>
      </x:c>
      <x:c r="F329" s="20" t="str">
        <x:v>Planned</x:v>
      </x:c>
    </x:row>
    <x:row r="330" ht="28" customHeight="1">
      <x:c r="A330" s="2" t="str">
        <x:v>F323</x:v>
      </x:c>
      <x:c r="B330" s="50" t="n">
        <x:v>2</x:v>
      </x:c>
      <x:c r="C330" s="2" t="str">
        <x:v>Event detail</x:v>
      </x:c>
      <x:c r="D330" s="19" t="str">
        <x:v>C02E01 Kip: geometry.intact_anchor</x:v>
      </x:c>
      <x:c r="E330" s="58" t="b">
        <x:v>1</x:v>
      </x:c>
      <x:c r="F330" s="19" t="str">
        <x:v>Planned</x:v>
      </x:c>
    </x:row>
    <x:row r="331" ht="32" customHeight="1">
      <x:c r="A331" s="17" t="str">
        <x:v>F324</x:v>
      </x:c>
      <x:c r="B331" s="51" t="n">
        <x:v>2</x:v>
      </x:c>
      <x:c r="C331" s="17" t="str">
        <x:v>Event detail</x:v>
      </x:c>
      <x:c r="D331" s="20" t="str">
        <x:v>C02E01 Kip: geometry.guardian_defeated_or_none_assigned</x:v>
      </x:c>
      <x:c r="E331" s="59" t="b">
        <x:v>1</x:v>
      </x:c>
      <x:c r="F331" s="20" t="str">
        <x:v>Planned</x:v>
      </x:c>
    </x:row>
    <x:row r="332" ht="32" customHeight="1">
      <x:c r="A332" s="2" t="str">
        <x:v>F325</x:v>
      </x:c>
      <x:c r="B332" s="50" t="n">
        <x:v>2</x:v>
      </x:c>
      <x:c r="C332" s="2" t="str">
        <x:v>Event detail</x:v>
      </x:c>
      <x:c r="D332" s="19" t="str">
        <x:v>C02E01 Kip: geometry.protective_seal_removed_or_absent</x:v>
      </x:c>
      <x:c r="E332" s="58" t="b">
        <x:v>1</x:v>
      </x:c>
      <x:c r="F332" s="19" t="str">
        <x:v>Planned</x:v>
      </x:c>
    </x:row>
    <x:row r="333" ht="32" customHeight="1">
      <x:c r="A333" s="17" t="str">
        <x:v>F326</x:v>
      </x:c>
      <x:c r="B333" s="51" t="n">
        <x:v>2</x:v>
      </x:c>
      <x:c r="C333" s="17" t="str">
        <x:v>Event detail</x:v>
      </x:c>
      <x:c r="D333" s="20" t="str">
        <x:v>C02E01 Kip: geometry.living_hostiles_inside_at_start</x:v>
      </x:c>
      <x:c r="E333" s="61" t="n">
        <x:v>0</x:v>
      </x:c>
      <x:c r="F333" s="20" t="str">
        <x:v>Planned</x:v>
      </x:c>
    </x:row>
    <x:row r="334" ht="28" customHeight="1">
      <x:c r="A334" s="2" t="str">
        <x:v>F327</x:v>
      </x:c>
      <x:c r="B334" s="50" t="n">
        <x:v>2</x:v>
      </x:c>
      <x:c r="C334" s="2" t="str">
        <x:v>Event detail</x:v>
      </x:c>
      <x:c r="D334" s="19" t="str">
        <x:v>C02E01 Kip: geometry.boss_chamber</x:v>
      </x:c>
      <x:c r="E334" s="58" t="b">
        <x:v>0</x:v>
      </x:c>
      <x:c r="F334" s="19" t="str">
        <x:v>Planned</x:v>
      </x:c>
    </x:row>
    <x:row r="335" ht="28" customHeight="1">
      <x:c r="A335" s="17" t="str">
        <x:v>F328</x:v>
      </x:c>
      <x:c r="B335" s="51" t="n">
        <x:v>2</x:v>
      </x:c>
      <x:c r="C335" s="17" t="str">
        <x:v>Event detail</x:v>
      </x:c>
      <x:c r="D335" s="20" t="str">
        <x:v>C02E01 Kip: channel_seconds</x:v>
      </x:c>
      <x:c r="E335" s="61" t="n">
        <x:v>30</x:v>
      </x:c>
      <x:c r="F335" s="20" t="str">
        <x:v>Planned</x:v>
      </x:c>
    </x:row>
    <x:row r="336" ht="28" customHeight="1">
      <x:c r="A336" s="2" t="str">
        <x:v>F329</x:v>
      </x:c>
      <x:c r="B336" s="50" t="n">
        <x:v>2</x:v>
      </x:c>
      <x:c r="C336" s="2" t="str">
        <x:v>Event detail</x:v>
      </x:c>
      <x:c r="D336" s="19" t="str">
        <x:v>C02E01 Kip: outcome</x:v>
      </x:c>
      <x:c r="E336" s="19" t="str">
        <x:v>success after uninterrupted30seconds</x:v>
      </x:c>
      <x:c r="F336" s="19" t="str">
        <x:v>Planned</x:v>
      </x:c>
    </x:row>
    <x:row r="337" ht="28" customHeight="1">
      <x:c r="A337" s="17" t="str">
        <x:v>F330</x:v>
      </x:c>
      <x:c r="B337" s="51" t="n">
        <x:v>2</x:v>
      </x:c>
      <x:c r="C337" s="17" t="str">
        <x:v>Event detail</x:v>
      </x:c>
      <x:c r="D337" s="20" t="str">
        <x:v>C02E02 Kip: note</x:v>
      </x:c>
      <x:c r="E337" s="20" t="str">
        <x:v>Protected, seated, no casting/movement/attack; another awake person keeps watch.</x:v>
      </x:c>
      <x:c r="F337" s="20" t="str">
        <x:v>Planned</x:v>
      </x:c>
    </x:row>
    <x:row r="338" ht="28" customHeight="1">
      <x:c r="A338" s="2" t="str">
        <x:v>F331</x:v>
      </x:c>
      <x:c r="B338" s="50" t="n">
        <x:v>2</x:v>
      </x:c>
      <x:c r="C338" s="2" t="str">
        <x:v>Event detail</x:v>
      </x:c>
      <x:c r="D338" s="19" t="str">
        <x:v>C02E02 Kip: ends</x:v>
      </x:c>
      <x:c r="E338" s="19" t="str">
        <x:v>Day 1 08:09:50</x:v>
      </x:c>
      <x:c r="F338" s="19" t="str">
        <x:v>Planned</x:v>
      </x:c>
    </x:row>
    <x:row r="339" ht="28" customHeight="1">
      <x:c r="A339" s="17" t="str">
        <x:v>F332</x:v>
      </x:c>
      <x:c r="B339" s="51" t="n">
        <x:v>2</x:v>
      </x:c>
      <x:c r="C339" s="17" t="str">
        <x:v>Event detail</x:v>
      </x:c>
      <x:c r="D339" s="20" t="str">
        <x:v>C02E03 Tessa: note</x:v>
      </x:c>
      <x:c r="E339" s="20" t="str">
        <x:v>Protected, seated, no casting/movement/attack; another awake person keeps watch.</x:v>
      </x:c>
      <x:c r="F339" s="20" t="str">
        <x:v>Planned</x:v>
      </x:c>
    </x:row>
    <x:row r="340" ht="28" customHeight="1">
      <x:c r="A340" s="2" t="str">
        <x:v>F333</x:v>
      </x:c>
      <x:c r="B340" s="50" t="n">
        <x:v>2</x:v>
      </x:c>
      <x:c r="C340" s="2" t="str">
        <x:v>Event detail</x:v>
      </x:c>
      <x:c r="D340" s="19" t="str">
        <x:v>C02E03 Tessa: ends</x:v>
      </x:c>
      <x:c r="E340" s="19" t="str">
        <x:v>Day 1 08:13:50</x:v>
      </x:c>
      <x:c r="F340" s="19" t="str">
        <x:v>Planned</x:v>
      </x:c>
    </x:row>
    <x:row r="341" ht="28" customHeight="1">
      <x:c r="A341" s="17" t="str">
        <x:v>F334</x:v>
      </x:c>
      <x:c r="B341" s="51" t="n">
        <x:v>2</x:v>
      </x:c>
      <x:c r="C341" s="17" t="str">
        <x:v>Event detail</x:v>
      </x:c>
      <x:c r="D341" s="20" t="str">
        <x:v>C02E04 Owen: note</x:v>
      </x:c>
      <x:c r="E341" s="20" t="str">
        <x:v>Protected, seated, no casting/movement/attack; another awake person keeps watch.</x:v>
      </x:c>
      <x:c r="F341" s="20" t="str">
        <x:v>Planned</x:v>
      </x:c>
    </x:row>
    <x:row r="342" ht="28" customHeight="1">
      <x:c r="A342" s="2" t="str">
        <x:v>F335</x:v>
      </x:c>
      <x:c r="B342" s="50" t="n">
        <x:v>2</x:v>
      </x:c>
      <x:c r="C342" s="2" t="str">
        <x:v>Event detail</x:v>
      </x:c>
      <x:c r="D342" s="19" t="str">
        <x:v>C02E04 Owen: ends</x:v>
      </x:c>
      <x:c r="E342" s="19" t="str">
        <x:v>Day 1 08:16:50</x:v>
      </x:c>
      <x:c r="F342" s="19" t="str">
        <x:v>Planned</x:v>
      </x:c>
    </x:row>
    <x:row r="343" ht="28" customHeight="1">
      <x:c r="A343" s="17" t="str">
        <x:v>F336</x:v>
      </x:c>
      <x:c r="B343" s="51" t="n">
        <x:v>2</x:v>
      </x:c>
      <x:c r="C343" s="17" t="str">
        <x:v>Event detail</x:v>
      </x:c>
      <x:c r="D343" s="20" t="str">
        <x:v>C02E05 Kip: target</x:v>
      </x:c>
      <x:c r="E343" s="20" t="str">
        <x:v>clear floor facing cloth-weight test</x:v>
      </x:c>
      <x:c r="F343" s="20" t="str">
        <x:v>Planned</x:v>
      </x:c>
    </x:row>
    <x:row r="344" ht="28" customHeight="1">
      <x:c r="A344" s="2" t="str">
        <x:v>F337</x:v>
      </x:c>
      <x:c r="B344" s="50" t="n">
        <x:v>2</x:v>
      </x:c>
      <x:c r="C344" s="2" t="str">
        <x:v>Event detail</x:v>
      </x:c>
      <x:c r="D344" s="19" t="str">
        <x:v>C02E05 Kip: note</x:v>
      </x:c>
      <x:c r="E344" s="19" t="str">
        <x:v>First Claim grants ability only after valid claim; two-second setup, bundle crosses front.</x:v>
      </x:c>
      <x:c r="F344" s="19" t="str">
        <x:v>Planned</x:v>
      </x:c>
    </x:row>
    <x:row r="345" ht="28" customHeight="1">
      <x:c r="A345" s="17" t="str">
        <x:v>F338</x:v>
      </x:c>
      <x:c r="B345" s="51" t="n">
        <x:v>2</x:v>
      </x:c>
      <x:c r="C345" s="17" t="str">
        <x:v>Event detail</x:v>
      </x:c>
      <x:c r="D345" s="20" t="str">
        <x:v>C02E05 Kip: setup_seconds</x:v>
      </x:c>
      <x:c r="E345" s="61" t="n">
        <x:v>2</x:v>
      </x:c>
      <x:c r="F345" s="20" t="str">
        <x:v>Planned</x:v>
      </x:c>
    </x:row>
    <x:row r="346" ht="32" customHeight="1">
      <x:c r="A346" s="2" t="str">
        <x:v>F339</x:v>
      </x:c>
      <x:c r="B346" s="50" t="n">
        <x:v>2</x:v>
      </x:c>
      <x:c r="C346" s="2" t="str">
        <x:v>Event detail</x:v>
      </x:c>
      <x:c r="D346" s="19" t="str">
        <x:v>C02E05 Kip: physical_impact_seconds_after_start</x:v>
      </x:c>
      <x:c r="E346" s="60" t="n">
        <x:v>8</x:v>
      </x:c>
      <x:c r="F346" s="19" t="str">
        <x:v>Planned</x:v>
      </x:c>
    </x:row>
    <x:row r="347" ht="28" customHeight="1">
      <x:c r="A347" s="17" t="str">
        <x:v>F340</x:v>
      </x:c>
      <x:c r="B347" s="51" t="n">
        <x:v>2</x:v>
      </x:c>
      <x:c r="C347" s="17" t="str">
        <x:v>Event detail</x:v>
      </x:c>
      <x:c r="D347" s="20" t="str">
        <x:v>C02E05 Kip: geometry.clear_ground</x:v>
      </x:c>
      <x:c r="E347" s="59" t="b">
        <x:v>1</x:v>
      </x:c>
      <x:c r="F347" s="20" t="str">
        <x:v>Planned</x:v>
      </x:c>
    </x:row>
    <x:row r="348" ht="28" customHeight="1">
      <x:c r="A348" s="2" t="str">
        <x:v>F341</x:v>
      </x:c>
      <x:c r="B348" s="50" t="n">
        <x:v>2</x:v>
      </x:c>
      <x:c r="C348" s="2" t="str">
        <x:v>Event detail</x:v>
      </x:c>
      <x:c r="D348" s="19" t="str">
        <x:v>C02E05 Kip: geometry.within_3m</x:v>
      </x:c>
      <x:c r="E348" s="58" t="b">
        <x:v>1</x:v>
      </x:c>
      <x:c r="F348" s="19" t="str">
        <x:v>Planned</x:v>
      </x:c>
    </x:row>
    <x:row r="349" ht="28" customHeight="1">
      <x:c r="A349" s="17" t="str">
        <x:v>F342</x:v>
      </x:c>
      <x:c r="B349" s="51" t="n">
        <x:v>2</x:v>
      </x:c>
      <x:c r="C349" s="17" t="str">
        <x:v>Event detail</x:v>
      </x:c>
      <x:c r="D349" s="20" t="str">
        <x:v>C02E05 Kip: geometry.upright_2m_square</x:v>
      </x:c>
      <x:c r="E349" s="59" t="b">
        <x:v>1</x:v>
      </x:c>
      <x:c r="F349" s="20" t="str">
        <x:v>Planned</x:v>
      </x:c>
    </x:row>
    <x:row r="350" ht="28" customHeight="1">
      <x:c r="A350" s="2" t="str">
        <x:v>F343</x:v>
      </x:c>
      <x:c r="B350" s="50" t="n">
        <x:v>2</x:v>
      </x:c>
      <x:c r="C350" s="2" t="str">
        <x:v>Event detail</x:v>
      </x:c>
      <x:c r="D350" s="19" t="str">
        <x:v>C02E05 Kip: geometry.stationary</x:v>
      </x:c>
      <x:c r="E350" s="58" t="b">
        <x:v>1</x:v>
      </x:c>
      <x:c r="F350" s="19" t="str">
        <x:v>Planned</x:v>
      </x:c>
    </x:row>
    <x:row r="351" ht="32" customHeight="1">
      <x:c r="A351" s="17" t="str">
        <x:v>F344</x:v>
      </x:c>
      <x:c r="B351" s="51" t="n">
        <x:v>2</x:v>
      </x:c>
      <x:c r="C351" s="17" t="str">
        <x:v>Event detail</x:v>
      </x:c>
      <x:c r="D351" s="20" t="str">
        <x:v>C02E05 Kip: geometry.physical_impact_crosses_front</x:v>
      </x:c>
      <x:c r="E351" s="59" t="b">
        <x:v>1</x:v>
      </x:c>
      <x:c r="F351" s="20" t="str">
        <x:v>Planned</x:v>
      </x:c>
    </x:row>
    <x:row r="352" ht="32" customHeight="1">
      <x:c r="A352" s="2" t="str">
        <x:v>F345</x:v>
      </x:c>
      <x:c r="B352" s="50" t="n">
        <x:v>2</x:v>
      </x:c>
      <x:c r="C352" s="2" t="str">
        <x:v>Event detail</x:v>
      </x:c>
      <x:c r="D352" s="19" t="str">
        <x:v>C02E05 Kip: geometry.blocks_heat_or_water</x:v>
      </x:c>
      <x:c r="E352" s="58" t="b">
        <x:v>0</x:v>
      </x:c>
      <x:c r="F352" s="19" t="str">
        <x:v>Planned</x:v>
      </x:c>
    </x:row>
    <x:row r="353" ht="28" customHeight="1">
      <x:c r="A353" s="17" t="str">
        <x:v>F346</x:v>
      </x:c>
      <x:c r="B353" s="51" t="n">
        <x:v>2</x:v>
      </x:c>
      <x:c r="C353" s="17" t="str">
        <x:v>Event detail</x:v>
      </x:c>
      <x:c r="D353" s="20" t="str">
        <x:v>C02E06 Kip: note</x:v>
      </x:c>
      <x:c r="E353" s="20" t="str">
        <x:v>Protected, seated, no casting/movement/attack; another awake person keeps watch.</x:v>
      </x:c>
      <x:c r="F353" s="20" t="str">
        <x:v>Planned</x:v>
      </x:c>
    </x:row>
    <x:row r="354" ht="28" customHeight="1">
      <x:c r="A354" s="2" t="str">
        <x:v>F347</x:v>
      </x:c>
      <x:c r="B354" s="50" t="n">
        <x:v>2</x:v>
      </x:c>
      <x:c r="C354" s="2" t="str">
        <x:v>Event detail</x:v>
      </x:c>
      <x:c r="D354" s="19" t="str">
        <x:v>C02E06 Kip: ends</x:v>
      </x:c>
      <x:c r="E354" s="19" t="str">
        <x:v>Day 1 08:20:00</x:v>
      </x:c>
      <x:c r="F354" s="19" t="str">
        <x:v>Planned</x:v>
      </x:c>
    </x:row>
    <x:row r="355" ht="28" customHeight="1">
      <x:c r="A355" s="17" t="str">
        <x:v>F348</x:v>
      </x:c>
      <x:c r="B355" s="51" t="n">
        <x:v>2</x:v>
      </x:c>
      <x:c r="C355" s="17" t="str">
        <x:v>Event detail</x:v>
      </x:c>
      <x:c r="D355" s="20" t="str">
        <x:v>C02E07 Dane: note</x:v>
      </x:c>
      <x:c r="E355" s="20" t="str">
        <x:v>Tessa now watches while Dane sits; no immediate attack.</x:v>
      </x:c>
      <x:c r="F355" s="20" t="str">
        <x:v>Planned</x:v>
      </x:c>
    </x:row>
    <x:row r="356" ht="28" customHeight="1">
      <x:c r="A356" s="2" t="str">
        <x:v>F349</x:v>
      </x:c>
      <x:c r="B356" s="50" t="n">
        <x:v>2</x:v>
      </x:c>
      <x:c r="C356" s="2" t="str">
        <x:v>Event detail</x:v>
      </x:c>
      <x:c r="D356" s="19" t="str">
        <x:v>C02E07 Dane: ends</x:v>
      </x:c>
      <x:c r="E356" s="19" t="str">
        <x:v>Day 1 08:29:00</x:v>
      </x:c>
      <x:c r="F356" s="19" t="str">
        <x:v>Planned</x:v>
      </x:c>
    </x:row>
    <x:row r="357" ht="28" customHeight="1">
      <x:c r="A357" s="17" t="str">
        <x:v>F350</x:v>
      </x:c>
      <x:c r="B357" s="51" t="n">
        <x:v>3</x:v>
      </x:c>
      <x:c r="C357" s="17" t="str">
        <x:v>Event detail</x:v>
      </x:c>
      <x:c r="D357" s="20" t="str">
        <x:v>C03E01 Tessa: target</x:v>
      </x:c>
      <x:c r="E357" s="20" t="str">
        <x:v>fresh physical tracks toward main passage</x:v>
      </x:c>
      <x:c r="F357" s="20" t="str">
        <x:v>Planned</x:v>
      </x:c>
    </x:row>
    <x:row r="358" ht="32" customHeight="1">
      <x:c r="A358" s="2" t="str">
        <x:v>F351</x:v>
      </x:c>
      <x:c r="B358" s="50" t="n">
        <x:v>3</x:v>
      </x:c>
      <x:c r="C358" s="2" t="str">
        <x:v>Event detail</x:v>
      </x:c>
      <x:c r="D358" s="19" t="str">
        <x:v>C03E01 Tessa: geometry.physical_track_inspected</x:v>
      </x:c>
      <x:c r="E358" s="58" t="b">
        <x:v>1</x:v>
      </x:c>
      <x:c r="F358" s="19" t="str">
        <x:v>Planned</x:v>
      </x:c>
    </x:row>
    <x:row r="359" ht="32" customHeight="1">
      <x:c r="A359" s="17" t="str">
        <x:v>F352</x:v>
      </x:c>
      <x:c r="B359" s="51" t="n">
        <x:v>3</x:v>
      </x:c>
      <x:c r="C359" s="17" t="str">
        <x:v>Event detail</x:v>
      </x:c>
      <x:c r="D359" s="20" t="str">
        <x:v>C03E01 Tessa: geometry.oldest_trace_minutes</x:v>
      </x:c>
      <x:c r="E359" s="61" t="n">
        <x:v>60</x:v>
      </x:c>
      <x:c r="F359" s="20" t="str">
        <x:v>Planned</x:v>
      </x:c>
    </x:row>
    <x:row r="360" ht="28" customHeight="1">
      <x:c r="A360" s="2" t="str">
        <x:v>F353</x:v>
      </x:c>
      <x:c r="B360" s="50" t="n">
        <x:v>3</x:v>
      </x:c>
      <x:c r="C360" s="2" t="str">
        <x:v>Event detail</x:v>
      </x:c>
      <x:c r="D360" s="19" t="str">
        <x:v>C03E01 Tessa: geometry.radius_m</x:v>
      </x:c>
      <x:c r="E360" s="60" t="n">
        <x:v>25</x:v>
      </x:c>
      <x:c r="F360" s="19" t="str">
        <x:v>Planned</x:v>
      </x:c>
    </x:row>
    <x:row r="361" ht="32" customHeight="1">
      <x:c r="A361" s="17" t="str">
        <x:v>F354</x:v>
      </x:c>
      <x:c r="B361" s="51" t="n">
        <x:v>3</x:v>
      </x:c>
      <x:c r="C361" s="17" t="str">
        <x:v>Event detail</x:v>
      </x:c>
      <x:c r="D361" s="20" t="str">
        <x:v>C03E01 Tessa: geometry.trace_visible_line_of_sight</x:v>
      </x:c>
      <x:c r="E361" s="59" t="b">
        <x:v>1</x:v>
      </x:c>
      <x:c r="F361" s="20" t="str">
        <x:v>Planned</x:v>
      </x:c>
    </x:row>
    <x:row r="362" ht="32" customHeight="1">
      <x:c r="A362" s="2" t="str">
        <x:v>F355</x:v>
      </x:c>
      <x:c r="B362" s="50" t="n">
        <x:v>3</x:v>
      </x:c>
      <x:c r="C362" s="2" t="str">
        <x:v>Event detail</x:v>
      </x:c>
      <x:c r="D362" s="19" t="str">
        <x:v>C03E01 Tessa: geometry.reveals_current_person_location_or_mind</x:v>
      </x:c>
      <x:c r="E362" s="58" t="b">
        <x:v>0</x:v>
      </x:c>
      <x:c r="F362" s="19" t="str">
        <x:v>Planned</x:v>
      </x:c>
    </x:row>
    <x:row r="363" ht="28" customHeight="1">
      <x:c r="A363" s="17" t="str">
        <x:v>F356</x:v>
      </x:c>
      <x:c r="B363" s="51" t="n">
        <x:v>3</x:v>
      </x:c>
      <x:c r="C363" s="17" t="str">
        <x:v>Event detail</x:v>
      </x:c>
      <x:c r="D363" s="20" t="str">
        <x:v>C03E02 Kip: target</x:v>
      </x:c>
      <x:c r="E363" s="20" t="str">
        <x:v>clear ground facing downhill debris</x:v>
      </x:c>
      <x:c r="F363" s="20" t="str">
        <x:v>Planned</x:v>
      </x:c>
    </x:row>
    <x:row r="364" ht="28" customHeight="1">
      <x:c r="A364" s="2" t="str">
        <x:v>F357</x:v>
      </x:c>
      <x:c r="B364" s="50" t="n">
        <x:v>3</x:v>
      </x:c>
      <x:c r="C364" s="2" t="str">
        <x:v>Event detail</x:v>
      </x:c>
      <x:c r="D364" s="19" t="str">
        <x:v>C03E02 Kip: note</x:v>
      </x:c>
      <x:c r="E364" s="19" t="str">
        <x:v>Two seconds setup; rolling stone crosses upright front within ten seconds; half force still hazardous.</x:v>
      </x:c>
      <x:c r="F364" s="19" t="str">
        <x:v>Planned</x:v>
      </x:c>
    </x:row>
    <x:row r="365" ht="28" customHeight="1">
      <x:c r="A365" s="17" t="str">
        <x:v>F358</x:v>
      </x:c>
      <x:c r="B365" s="51" t="n">
        <x:v>3</x:v>
      </x:c>
      <x:c r="C365" s="17" t="str">
        <x:v>Event detail</x:v>
      </x:c>
      <x:c r="D365" s="20" t="str">
        <x:v>C03E02 Kip: setup_seconds</x:v>
      </x:c>
      <x:c r="E365" s="61" t="n">
        <x:v>2</x:v>
      </x:c>
      <x:c r="F365" s="20" t="str">
        <x:v>Planned</x:v>
      </x:c>
    </x:row>
    <x:row r="366" ht="32" customHeight="1">
      <x:c r="A366" s="2" t="str">
        <x:v>F359</x:v>
      </x:c>
      <x:c r="B366" s="50" t="n">
        <x:v>3</x:v>
      </x:c>
      <x:c r="C366" s="2" t="str">
        <x:v>Event detail</x:v>
      </x:c>
      <x:c r="D366" s="19" t="str">
        <x:v>C03E02 Kip: physical_impact_seconds_after_start</x:v>
      </x:c>
      <x:c r="E366" s="60" t="n">
        <x:v>8</x:v>
      </x:c>
      <x:c r="F366" s="19" t="str">
        <x:v>Planned</x:v>
      </x:c>
    </x:row>
    <x:row r="367" ht="28" customHeight="1">
      <x:c r="A367" s="17" t="str">
        <x:v>F360</x:v>
      </x:c>
      <x:c r="B367" s="51" t="n">
        <x:v>3</x:v>
      </x:c>
      <x:c r="C367" s="17" t="str">
        <x:v>Event detail</x:v>
      </x:c>
      <x:c r="D367" s="20" t="str">
        <x:v>C03E02 Kip: geometry.clear_ground</x:v>
      </x:c>
      <x:c r="E367" s="59" t="b">
        <x:v>1</x:v>
      </x:c>
      <x:c r="F367" s="20" t="str">
        <x:v>Planned</x:v>
      </x:c>
    </x:row>
    <x:row r="368" ht="28" customHeight="1">
      <x:c r="A368" s="2" t="str">
        <x:v>F361</x:v>
      </x:c>
      <x:c r="B368" s="50" t="n">
        <x:v>3</x:v>
      </x:c>
      <x:c r="C368" s="2" t="str">
        <x:v>Event detail</x:v>
      </x:c>
      <x:c r="D368" s="19" t="str">
        <x:v>C03E02 Kip: geometry.within_3m</x:v>
      </x:c>
      <x:c r="E368" s="58" t="b">
        <x:v>1</x:v>
      </x:c>
      <x:c r="F368" s="19" t="str">
        <x:v>Planned</x:v>
      </x:c>
    </x:row>
    <x:row r="369" ht="28" customHeight="1">
      <x:c r="A369" s="17" t="str">
        <x:v>F362</x:v>
      </x:c>
      <x:c r="B369" s="51" t="n">
        <x:v>3</x:v>
      </x:c>
      <x:c r="C369" s="17" t="str">
        <x:v>Event detail</x:v>
      </x:c>
      <x:c r="D369" s="20" t="str">
        <x:v>C03E02 Kip: geometry.upright_2m_square</x:v>
      </x:c>
      <x:c r="E369" s="59" t="b">
        <x:v>1</x:v>
      </x:c>
      <x:c r="F369" s="20" t="str">
        <x:v>Planned</x:v>
      </x:c>
    </x:row>
    <x:row r="370" ht="28" customHeight="1">
      <x:c r="A370" s="2" t="str">
        <x:v>F363</x:v>
      </x:c>
      <x:c r="B370" s="50" t="n">
        <x:v>3</x:v>
      </x:c>
      <x:c r="C370" s="2" t="str">
        <x:v>Event detail</x:v>
      </x:c>
      <x:c r="D370" s="19" t="str">
        <x:v>C03E02 Kip: geometry.stationary</x:v>
      </x:c>
      <x:c r="E370" s="58" t="b">
        <x:v>1</x:v>
      </x:c>
      <x:c r="F370" s="19" t="str">
        <x:v>Planned</x:v>
      </x:c>
    </x:row>
    <x:row r="371" ht="32" customHeight="1">
      <x:c r="A371" s="17" t="str">
        <x:v>F364</x:v>
      </x:c>
      <x:c r="B371" s="51" t="n">
        <x:v>3</x:v>
      </x:c>
      <x:c r="C371" s="17" t="str">
        <x:v>Event detail</x:v>
      </x:c>
      <x:c r="D371" s="20" t="str">
        <x:v>C03E02 Kip: geometry.physical_impact_crosses_front</x:v>
      </x:c>
      <x:c r="E371" s="59" t="b">
        <x:v>1</x:v>
      </x:c>
      <x:c r="F371" s="20" t="str">
        <x:v>Planned</x:v>
      </x:c>
    </x:row>
    <x:row r="372" ht="32" customHeight="1">
      <x:c r="A372" s="2" t="str">
        <x:v>F365</x:v>
      </x:c>
      <x:c r="B372" s="50" t="n">
        <x:v>3</x:v>
      </x:c>
      <x:c r="C372" s="2" t="str">
        <x:v>Event detail</x:v>
      </x:c>
      <x:c r="D372" s="19" t="str">
        <x:v>C03E02 Kip: geometry.blocks_heat_or_water</x:v>
      </x:c>
      <x:c r="E372" s="58" t="b">
        <x:v>0</x:v>
      </x:c>
      <x:c r="F372" s="19" t="str">
        <x:v>Planned</x:v>
      </x:c>
    </x:row>
    <x:row r="373" ht="28" customHeight="1">
      <x:c r="A373" s="17" t="str">
        <x:v>F366</x:v>
      </x:c>
      <x:c r="B373" s="51" t="n">
        <x:v>3</x:v>
      </x:c>
      <x:c r="C373" s="17" t="str">
        <x:v>Event detail</x:v>
      </x:c>
      <x:c r="D373" s="20" t="str">
        <x:v>C03E03 Dane: target</x:v>
      </x:c>
      <x:c r="E373" s="20" t="str">
        <x:v>litter on visible clear 6m path</x:v>
      </x:c>
      <x:c r="F373" s="20" t="str">
        <x:v>Planned</x:v>
      </x:c>
    </x:row>
    <x:row r="374" ht="28" customHeight="1">
      <x:c r="A374" s="2" t="str">
        <x:v>F367</x:v>
      </x:c>
      <x:c r="B374" s="50" t="n">
        <x:v>3</x:v>
      </x:c>
      <x:c r="C374" s="2" t="str">
        <x:v>Event detail</x:v>
      </x:c>
      <x:c r="D374" s="19" t="str">
        <x:v>C03E03 Dane: note</x:v>
      </x:c>
      <x:c r="E374" s="19" t="str">
        <x:v> Separate small rock parried at09:30:04; the larger rolling stone reaches Ward at09:30:08.</x:v>
      </x:c>
      <x:c r="F374" s="19" t="str">
        <x:v>Planned</x:v>
      </x:c>
    </x:row>
    <x:row r="375" ht="28" customHeight="1">
      <x:c r="A375" s="17" t="str">
        <x:v>F368</x:v>
      </x:c>
      <x:c r="B375" s="51" t="n">
        <x:v>3</x:v>
      </x:c>
      <x:c r="C375" s="17" t="str">
        <x:v>Event detail</x:v>
      </x:c>
      <x:c r="D375" s="20" t="str">
        <x:v>C03E03 Dane: geometry.path_length_m</x:v>
      </x:c>
      <x:c r="E375" s="61" t="n">
        <x:v>6</x:v>
      </x:c>
      <x:c r="F375" s="20" t="str">
        <x:v>Planned</x:v>
      </x:c>
    </x:row>
    <x:row r="376" ht="28" customHeight="1">
      <x:c r="A376" s="2" t="str">
        <x:v>F369</x:v>
      </x:c>
      <x:c r="B376" s="50" t="n">
        <x:v>3</x:v>
      </x:c>
      <x:c r="C376" s="2" t="str">
        <x:v>Event detail</x:v>
      </x:c>
      <x:c r="D376" s="19" t="str">
        <x:v>C03E03 Dane: geometry.visible_ally</x:v>
      </x:c>
      <x:c r="E376" s="58" t="b">
        <x:v>1</x:v>
      </x:c>
      <x:c r="F376" s="19" t="str">
        <x:v>Planned</x:v>
      </x:c>
    </x:row>
    <x:row r="377" ht="32" customHeight="1">
      <x:c r="A377" s="17" t="str">
        <x:v>F370</x:v>
      </x:c>
      <x:c r="B377" s="51" t="n">
        <x:v>3</x:v>
      </x:c>
      <x:c r="C377" s="17" t="str">
        <x:v>Event detail</x:v>
      </x:c>
      <x:c r="D377" s="20" t="str">
        <x:v>C03E03 Dane: geometry.clear_physical_path</x:v>
      </x:c>
      <x:c r="E377" s="59" t="b">
        <x:v>1</x:v>
      </x:c>
      <x:c r="F377" s="20" t="str">
        <x:v>Planned</x:v>
      </x:c>
    </x:row>
    <x:row r="378" ht="32" customHeight="1">
      <x:c r="A378" s="2" t="str">
        <x:v>F371</x:v>
      </x:c>
      <x:c r="B378" s="50" t="n">
        <x:v>3</x:v>
      </x:c>
      <x:c r="C378" s="2" t="str">
        <x:v>Event detail</x:v>
      </x:c>
      <x:c r="D378" s="19" t="str">
        <x:v>C03E03 Dane: geometry.functional_weapon_in_right_hand</x:v>
      </x:c>
      <x:c r="E378" s="58" t="b">
        <x:v>1</x:v>
      </x:c>
      <x:c r="F378" s="19" t="str">
        <x:v>Planned</x:v>
      </x:c>
    </x:row>
    <x:row r="379" ht="32" customHeight="1">
      <x:c r="A379" s="17" t="str">
        <x:v>F372</x:v>
      </x:c>
      <x:c r="B379" s="51" t="n">
        <x:v>3</x:v>
      </x:c>
      <x:c r="C379" s="17" t="str">
        <x:v>Event detail</x:v>
      </x:c>
      <x:c r="D379" s="20" t="str">
        <x:v>C03E03 Dane: geometry.uses_enhanced_block</x:v>
      </x:c>
      <x:c r="E379" s="59" t="b">
        <x:v>1</x:v>
      </x:c>
      <x:c r="F379" s="20" t="str">
        <x:v>Planned</x:v>
      </x:c>
    </x:row>
    <x:row r="380" ht="32" customHeight="1">
      <x:c r="A380" s="2" t="str">
        <x:v>F373</x:v>
      </x:c>
      <x:c r="B380" s="50" t="n">
        <x:v>3</x:v>
      </x:c>
      <x:c r="C380" s="2" t="str">
        <x:v>Event detail</x:v>
      </x:c>
      <x:c r="D380" s="19" t="str">
        <x:v>C03E03 Dane: geometry.block_seconds_after_activation</x:v>
      </x:c>
      <x:c r="E380" s="60" t="n">
        <x:v>1</x:v>
      </x:c>
      <x:c r="F380" s="19" t="str">
        <x:v>Planned</x:v>
      </x:c>
    </x:row>
    <x:row r="381" ht="32" customHeight="1">
      <x:c r="A381" s="17" t="str">
        <x:v>F374</x:v>
      </x:c>
      <x:c r="B381" s="51" t="n">
        <x:v>3</x:v>
      </x:c>
      <x:c r="C381" s="17" t="str">
        <x:v>Event detail</x:v>
      </x:c>
      <x:c r="D381" s="20" t="str">
        <x:v>C03E03 Dane: geometry.parryable_physical_attack</x:v>
      </x:c>
      <x:c r="E381" s="59" t="b">
        <x:v>1</x:v>
      </x:c>
      <x:c r="F381" s="20" t="str">
        <x:v>Planned</x:v>
      </x:c>
    </x:row>
    <x:row r="382" ht="32" customHeight="1">
      <x:c r="A382" s="2" t="str">
        <x:v>F375</x:v>
      </x:c>
      <x:c r="B382" s="50" t="n">
        <x:v>3</x:v>
      </x:c>
      <x:c r="C382" s="2" t="str">
        <x:v>Event detail</x:v>
      </x:c>
      <x:c r="D382" s="19" t="str">
        <x:v>C03E03 Dane: geometry.all_direction_protection_assumed</x:v>
      </x:c>
      <x:c r="E382" s="58" t="b">
        <x:v>0</x:v>
      </x:c>
      <x:c r="F382" s="19" t="str">
        <x:v>Planned</x:v>
      </x:c>
    </x:row>
    <x:row r="383" ht="28" customHeight="1">
      <x:c r="A383" s="17" t="str">
        <x:v>F376</x:v>
      </x:c>
      <x:c r="B383" s="51" t="n">
        <x:v>3</x:v>
      </x:c>
      <x:c r="C383" s="17" t="str">
        <x:v>Event detail</x:v>
      </x:c>
      <x:c r="D383" s="20" t="str">
        <x:v>C03E04 Owen: target</x:v>
      </x:c>
      <x:c r="E383" s="20" t="str">
        <x:v>Jory new 12cm/0.5cm forearm cut</x:v>
      </x:c>
      <x:c r="F383" s="20" t="str">
        <x:v>Planned</x:v>
      </x:c>
    </x:row>
    <x:row r="384" ht="28" customHeight="1">
      <x:c r="A384" s="2" t="str">
        <x:v>F377</x:v>
      </x:c>
      <x:c r="B384" s="50" t="n">
        <x:v>3</x:v>
      </x:c>
      <x:c r="C384" s="2" t="str">
        <x:v>Event detail</x:v>
      </x:c>
      <x:c r="D384" s="19" t="str">
        <x:v>C03E04 Owen: note</x:v>
      </x:c>
      <x:c r="E384" s="19" t="str">
        <x:v>Five seconds contact; seal ends 10:25:05 unless strain breaks it; next chapter Mend before expiry.</x:v>
      </x:c>
      <x:c r="F384" s="19" t="str">
        <x:v>Planned</x:v>
      </x:c>
    </x:row>
    <x:row r="385" ht="28" customHeight="1">
      <x:c r="A385" s="17" t="str">
        <x:v>F378</x:v>
      </x:c>
      <x:c r="B385" s="51" t="n">
        <x:v>3</x:v>
      </x:c>
      <x:c r="C385" s="17" t="str">
        <x:v>Event detail</x:v>
      </x:c>
      <x:c r="D385" s="20" t="str">
        <x:v>C03E04 Owen: geometry.wound_length_cm</x:v>
      </x:c>
      <x:c r="E385" s="61" t="n">
        <x:v>12</x:v>
      </x:c>
      <x:c r="F385" s="20" t="str">
        <x:v>Planned</x:v>
      </x:c>
    </x:row>
    <x:row r="386" ht="28" customHeight="1">
      <x:c r="A386" s="2" t="str">
        <x:v>F379</x:v>
      </x:c>
      <x:c r="B386" s="50" t="n">
        <x:v>3</x:v>
      </x:c>
      <x:c r="C386" s="2" t="str">
        <x:v>Event detail</x:v>
      </x:c>
      <x:c r="D386" s="19" t="str">
        <x:v>C03E04 Owen: geometry.wound_depth_cm</x:v>
      </x:c>
      <x:c r="E386" s="63" t="n">
        <x:v>0.5</x:v>
      </x:c>
      <x:c r="F386" s="19" t="str">
        <x:v>Planned</x:v>
      </x:c>
    </x:row>
    <x:row r="387" ht="28" customHeight="1">
      <x:c r="A387" s="17" t="str">
        <x:v>F380</x:v>
      </x:c>
      <x:c r="B387" s="51" t="n">
        <x:v>3</x:v>
      </x:c>
      <x:c r="C387" s="17" t="str">
        <x:v>Event detail</x:v>
      </x:c>
      <x:c r="D387" s="20" t="str">
        <x:v>C03E04 Owen: geometry.external_wound</x:v>
      </x:c>
      <x:c r="E387" s="59" t="b">
        <x:v>1</x:v>
      </x:c>
      <x:c r="F387" s="20" t="str">
        <x:v>Planned</x:v>
      </x:c>
    </x:row>
    <x:row r="388" ht="32" customHeight="1">
      <x:c r="A388" s="2" t="str">
        <x:v>F381</x:v>
      </x:c>
      <x:c r="B388" s="50" t="n">
        <x:v>3</x:v>
      </x:c>
      <x:c r="C388" s="2" t="str">
        <x:v>Event detail</x:v>
      </x:c>
      <x:c r="D388" s="19" t="str">
        <x:v>C03E04 Owen: geometry.tissue_present_and_aligned</x:v>
      </x:c>
      <x:c r="E388" s="58" t="b">
        <x:v>1</x:v>
      </x:c>
      <x:c r="F388" s="19" t="str">
        <x:v>Planned</x:v>
      </x:c>
    </x:row>
    <x:row r="389" ht="32" customHeight="1">
      <x:c r="A389" s="17" t="str">
        <x:v>F382</x:v>
      </x:c>
      <x:c r="B389" s="51" t="n">
        <x:v>3</x:v>
      </x:c>
      <x:c r="C389" s="17" t="str">
        <x:v>Event detail</x:v>
      </x:c>
      <x:c r="D389" s="20" t="str">
        <x:v>C03E04 Owen: geometry.uninterrupted_touch_seconds</x:v>
      </x:c>
      <x:c r="E389" s="61" t="n">
        <x:v>5</x:v>
      </x:c>
      <x:c r="F389" s="20" t="str">
        <x:v>Planned</x:v>
      </x:c>
    </x:row>
    <x:row r="390" ht="32" customHeight="1">
      <x:c r="A390" s="2" t="str">
        <x:v>F383</x:v>
      </x:c>
      <x:c r="B390" s="50" t="n">
        <x:v>3</x:v>
      </x:c>
      <x:c r="C390" s="2" t="str">
        <x:v>Event detail</x:v>
      </x:c>
      <x:c r="D390" s="19" t="str">
        <x:v>C03E04 Owen: geometry.repairs_bone_blood_organs_or_nerves</x:v>
      </x:c>
      <x:c r="E390" s="58" t="b">
        <x:v>0</x:v>
      </x:c>
      <x:c r="F390" s="19" t="str">
        <x:v>Planned</x:v>
      </x:c>
    </x:row>
    <x:row r="391" ht="32" customHeight="1">
      <x:c r="A391" s="17" t="str">
        <x:v>F384</x:v>
      </x:c>
      <x:c r="B391" s="51" t="n">
        <x:v>3</x:v>
      </x:c>
      <x:c r="C391" s="17" t="str">
        <x:v>Event detail</x:v>
      </x:c>
      <x:c r="D391" s="20" t="str">
        <x:v>C03E04 Owen: geometry.protected_position_for_channel_required_in_prose</x:v>
      </x:c>
      <x:c r="E391" s="59" t="b">
        <x:v>1</x:v>
      </x:c>
      <x:c r="F391" s="20" t="str">
        <x:v>Planned</x:v>
      </x:c>
    </x:row>
    <x:row r="392" ht="28" customHeight="1">
      <x:c r="A392" s="2" t="str">
        <x:v>F385</x:v>
      </x:c>
      <x:c r="B392" s="50" t="n">
        <x:v>4</x:v>
      </x:c>
      <x:c r="C392" s="2" t="str">
        <x:v>Event detail</x:v>
      </x:c>
      <x:c r="D392" s="19" t="str">
        <x:v>C04E01 Owen: target</x:v>
      </x:c>
      <x:c r="E392" s="19" t="str">
        <x:v>Jory sealed forearm cut</x:v>
      </x:c>
      <x:c r="F392" s="19" t="str">
        <x:v>Planned</x:v>
      </x:c>
    </x:row>
    <x:row r="393" ht="28" customHeight="1">
      <x:c r="A393" s="17" t="str">
        <x:v>F386</x:v>
      </x:c>
      <x:c r="B393" s="51" t="n">
        <x:v>4</x:v>
      </x:c>
      <x:c r="C393" s="17" t="str">
        <x:v>Event detail</x:v>
      </x:c>
      <x:c r="D393" s="20" t="str">
        <x:v>C04E01 Owen: note</x:v>
      </x:c>
      <x:c r="E393" s="20" t="str">
        <x:v>Repairs eligible shallow tissue before Staunch expires; fracture remains.</x:v>
      </x:c>
      <x:c r="F393" s="20" t="str">
        <x:v>Planned</x:v>
      </x:c>
    </x:row>
    <x:row r="394" ht="28" customHeight="1">
      <x:c r="A394" s="2" t="str">
        <x:v>F387</x:v>
      </x:c>
      <x:c r="B394" s="50" t="n">
        <x:v>4</x:v>
      </x:c>
      <x:c r="C394" s="2" t="str">
        <x:v>Event detail</x:v>
      </x:c>
      <x:c r="D394" s="19" t="str">
        <x:v>C04E01 Owen: geometry.wound_length_cm</x:v>
      </x:c>
      <x:c r="E394" s="60" t="n">
        <x:v>12</x:v>
      </x:c>
      <x:c r="F394" s="19" t="str">
        <x:v>Planned</x:v>
      </x:c>
    </x:row>
    <x:row r="395" ht="28" customHeight="1">
      <x:c r="A395" s="17" t="str">
        <x:v>F388</x:v>
      </x:c>
      <x:c r="B395" s="51" t="n">
        <x:v>4</x:v>
      </x:c>
      <x:c r="C395" s="17" t="str">
        <x:v>Event detail</x:v>
      </x:c>
      <x:c r="D395" s="20" t="str">
        <x:v>C04E01 Owen: geometry.wound_depth_cm</x:v>
      </x:c>
      <x:c r="E395" s="62" t="n">
        <x:v>0.5</x:v>
      </x:c>
      <x:c r="F395" s="20" t="str">
        <x:v>Planned</x:v>
      </x:c>
    </x:row>
    <x:row r="396" ht="28" customHeight="1">
      <x:c r="A396" s="2" t="str">
        <x:v>F389</x:v>
      </x:c>
      <x:c r="B396" s="50" t="n">
        <x:v>4</x:v>
      </x:c>
      <x:c r="C396" s="2" t="str">
        <x:v>Event detail</x:v>
      </x:c>
      <x:c r="D396" s="19" t="str">
        <x:v>C04E01 Owen: geometry.external_wound</x:v>
      </x:c>
      <x:c r="E396" s="58" t="b">
        <x:v>1</x:v>
      </x:c>
      <x:c r="F396" s="19" t="str">
        <x:v>Planned</x:v>
      </x:c>
    </x:row>
    <x:row r="397" ht="32" customHeight="1">
      <x:c r="A397" s="17" t="str">
        <x:v>F390</x:v>
      </x:c>
      <x:c r="B397" s="51" t="n">
        <x:v>4</x:v>
      </x:c>
      <x:c r="C397" s="17" t="str">
        <x:v>Event detail</x:v>
      </x:c>
      <x:c r="D397" s="20" t="str">
        <x:v>C04E01 Owen: geometry.tissue_present_and_aligned</x:v>
      </x:c>
      <x:c r="E397" s="59" t="b">
        <x:v>1</x:v>
      </x:c>
      <x:c r="F397" s="20" t="str">
        <x:v>Planned</x:v>
      </x:c>
    </x:row>
    <x:row r="398" ht="32" customHeight="1">
      <x:c r="A398" s="2" t="str">
        <x:v>F391</x:v>
      </x:c>
      <x:c r="B398" s="50" t="n">
        <x:v>4</x:v>
      </x:c>
      <x:c r="C398" s="2" t="str">
        <x:v>Event detail</x:v>
      </x:c>
      <x:c r="D398" s="19" t="str">
        <x:v>C04E01 Owen: geometry.uninterrupted_touch_seconds</x:v>
      </x:c>
      <x:c r="E398" s="60" t="n">
        <x:v>20</x:v>
      </x:c>
      <x:c r="F398" s="19" t="str">
        <x:v>Planned</x:v>
      </x:c>
    </x:row>
    <x:row r="399" ht="32" customHeight="1">
      <x:c r="A399" s="17" t="str">
        <x:v>F392</x:v>
      </x:c>
      <x:c r="B399" s="51" t="n">
        <x:v>4</x:v>
      </x:c>
      <x:c r="C399" s="17" t="str">
        <x:v>Event detail</x:v>
      </x:c>
      <x:c r="D399" s="20" t="str">
        <x:v>C04E01 Owen: geometry.repairs_bone_blood_organs_or_nerves</x:v>
      </x:c>
      <x:c r="E399" s="59" t="b">
        <x:v>0</x:v>
      </x:c>
      <x:c r="F399" s="20" t="str">
        <x:v>Planned</x:v>
      </x:c>
    </x:row>
    <x:row r="400" ht="32" customHeight="1">
      <x:c r="A400" s="2" t="str">
        <x:v>F393</x:v>
      </x:c>
      <x:c r="B400" s="50" t="n">
        <x:v>4</x:v>
      </x:c>
      <x:c r="C400" s="2" t="str">
        <x:v>Event detail</x:v>
      </x:c>
      <x:c r="D400" s="19" t="str">
        <x:v>C04E01 Owen: geometry.protected_position_for_channel_required_in_prose</x:v>
      </x:c>
      <x:c r="E400" s="58" t="b">
        <x:v>1</x:v>
      </x:c>
      <x:c r="F400" s="19" t="str">
        <x:v>Planned</x:v>
      </x:c>
    </x:row>
    <x:row r="401" ht="28" customHeight="1">
      <x:c r="A401" s="17" t="str">
        <x:v>F394</x:v>
      </x:c>
      <x:c r="B401" s="51" t="n">
        <x:v>4</x:v>
      </x:c>
      <x:c r="C401" s="17" t="str">
        <x:v>Event detail</x:v>
      </x:c>
      <x:c r="D401" s="20" t="str">
        <x:v>C04E02 Tessa: target</x:v>
      </x:c>
      <x:c r="E401" s="20" t="str">
        <x:v>fresh guard traces</x:v>
      </x:c>
      <x:c r="F401" s="20" t="str">
        <x:v>Planned</x:v>
      </x:c>
    </x:row>
    <x:row r="402" ht="32" customHeight="1">
      <x:c r="A402" s="2" t="str">
        <x:v>F395</x:v>
      </x:c>
      <x:c r="B402" s="50" t="n">
        <x:v>4</x:v>
      </x:c>
      <x:c r="C402" s="2" t="str">
        <x:v>Event detail</x:v>
      </x:c>
      <x:c r="D402" s="19" t="str">
        <x:v>C04E02 Tessa: geometry.physical_track_inspected</x:v>
      </x:c>
      <x:c r="E402" s="58" t="b">
        <x:v>1</x:v>
      </x:c>
      <x:c r="F402" s="19" t="str">
        <x:v>Planned</x:v>
      </x:c>
    </x:row>
    <x:row r="403" ht="32" customHeight="1">
      <x:c r="A403" s="17" t="str">
        <x:v>F396</x:v>
      </x:c>
      <x:c r="B403" s="51" t="n">
        <x:v>4</x:v>
      </x:c>
      <x:c r="C403" s="17" t="str">
        <x:v>Event detail</x:v>
      </x:c>
      <x:c r="D403" s="20" t="str">
        <x:v>C04E02 Tessa: geometry.oldest_trace_minutes</x:v>
      </x:c>
      <x:c r="E403" s="61" t="n">
        <x:v>60</x:v>
      </x:c>
      <x:c r="F403" s="20" t="str">
        <x:v>Planned</x:v>
      </x:c>
    </x:row>
    <x:row r="404" ht="28" customHeight="1">
      <x:c r="A404" s="2" t="str">
        <x:v>F397</x:v>
      </x:c>
      <x:c r="B404" s="50" t="n">
        <x:v>4</x:v>
      </x:c>
      <x:c r="C404" s="2" t="str">
        <x:v>Event detail</x:v>
      </x:c>
      <x:c r="D404" s="19" t="str">
        <x:v>C04E02 Tessa: geometry.radius_m</x:v>
      </x:c>
      <x:c r="E404" s="60" t="n">
        <x:v>25</x:v>
      </x:c>
      <x:c r="F404" s="19" t="str">
        <x:v>Planned</x:v>
      </x:c>
    </x:row>
    <x:row r="405" ht="32" customHeight="1">
      <x:c r="A405" s="17" t="str">
        <x:v>F398</x:v>
      </x:c>
      <x:c r="B405" s="51" t="n">
        <x:v>4</x:v>
      </x:c>
      <x:c r="C405" s="17" t="str">
        <x:v>Event detail</x:v>
      </x:c>
      <x:c r="D405" s="20" t="str">
        <x:v>C04E02 Tessa: geometry.trace_visible_line_of_sight</x:v>
      </x:c>
      <x:c r="E405" s="59" t="b">
        <x:v>1</x:v>
      </x:c>
      <x:c r="F405" s="20" t="str">
        <x:v>Planned</x:v>
      </x:c>
    </x:row>
    <x:row r="406" ht="32" customHeight="1">
      <x:c r="A406" s="2" t="str">
        <x:v>F399</x:v>
      </x:c>
      <x:c r="B406" s="50" t="n">
        <x:v>4</x:v>
      </x:c>
      <x:c r="C406" s="2" t="str">
        <x:v>Event detail</x:v>
      </x:c>
      <x:c r="D406" s="19" t="str">
        <x:v>C04E02 Tessa: geometry.reveals_current_person_location_or_mind</x:v>
      </x:c>
      <x:c r="E406" s="58" t="b">
        <x:v>0</x:v>
      </x:c>
      <x:c r="F406" s="19" t="str">
        <x:v>Planned</x:v>
      </x:c>
    </x:row>
    <x:row r="407" ht="28" customHeight="1">
      <x:c r="A407" s="17" t="str">
        <x:v>F400</x:v>
      </x:c>
      <x:c r="B407" s="51" t="n">
        <x:v>4</x:v>
      </x:c>
      <x:c r="C407" s="17" t="str">
        <x:v>Event detail</x:v>
      </x:c>
      <x:c r="D407" s="20" t="str">
        <x:v>C04E03 Kip: target</x:v>
      </x:c>
      <x:c r="E407" s="20" t="str">
        <x:v>gate-gallery rotating dart launcher</x:v>
      </x:c>
      <x:c r="F407" s="20" t="str">
        <x:v>Planned</x:v>
      </x:c>
    </x:row>
    <x:row r="408" ht="28" customHeight="1">
      <x:c r="A408" s="2" t="str">
        <x:v>F401</x:v>
      </x:c>
      <x:c r="B408" s="50" t="n">
        <x:v>4</x:v>
      </x:c>
      <x:c r="C408" s="2" t="str">
        <x:v>Event detail</x:v>
      </x:c>
      <x:c r="D408" s="19" t="str">
        <x:v>C04E03 Kip: note</x:v>
      </x:c>
      <x:c r="E408" s="19" t="str">
        <x:v>Available launcher suppression only five seconds; separate gate brake remains Shielded.</x:v>
      </x:c>
      <x:c r="F408" s="19" t="str">
        <x:v>Planned</x:v>
      </x:c>
    </x:row>
    <x:row r="409" ht="28" customHeight="1">
      <x:c r="A409" s="17" t="str">
        <x:v>F402</x:v>
      </x:c>
      <x:c r="B409" s="51" t="n">
        <x:v>4</x:v>
      </x:c>
      <x:c r="C409" s="17" t="str">
        <x:v>Event detail</x:v>
      </x:c>
      <x:c r="D409" s="20" t="str">
        <x:v>C04E03 Kip: control_seconds</x:v>
      </x:c>
      <x:c r="E409" s="61" t="n">
        <x:v>5</x:v>
      </x:c>
      <x:c r="F409" s="20" t="str">
        <x:v>Planned</x:v>
      </x:c>
    </x:row>
    <x:row r="410" ht="28" customHeight="1">
      <x:c r="A410" s="2" t="str">
        <x:v>F403</x:v>
      </x:c>
      <x:c r="B410" s="50" t="n">
        <x:v>4</x:v>
      </x:c>
      <x:c r="C410" s="2" t="str">
        <x:v>Event detail</x:v>
      </x:c>
      <x:c r="D410" s="19" t="str">
        <x:v>C04E03 Kip: geometry.distance_m</x:v>
      </x:c>
      <x:c r="E410" s="60" t="n">
        <x:v>10</x:v>
      </x:c>
      <x:c r="F410" s="19" t="str">
        <x:v>Planned</x:v>
      </x:c>
    </x:row>
    <x:row r="411" ht="32" customHeight="1">
      <x:c r="A411" s="17" t="str">
        <x:v>F404</x:v>
      </x:c>
      <x:c r="B411" s="51" t="n">
        <x:v>4</x:v>
      </x:c>
      <x:c r="C411" s="17" t="str">
        <x:v>Event detail</x:v>
      </x:c>
      <x:c r="D411" s="20" t="str">
        <x:v>C04E03 Kip: geometry.prior_sight_distance_m</x:v>
      </x:c>
      <x:c r="E411" s="61" t="n">
        <x:v>10</x:v>
      </x:c>
      <x:c r="F411" s="20" t="str">
        <x:v>Planned</x:v>
      </x:c>
    </x:row>
    <x:row r="412" ht="32" customHeight="1">
      <x:c r="A412" s="2" t="str">
        <x:v>F405</x:v>
      </x:c>
      <x:c r="B412" s="50" t="n">
        <x:v>4</x:v>
      </x:c>
      <x:c r="C412" s="2" t="str">
        <x:v>Event detail</x:v>
      </x:c>
      <x:c r="D412" s="19" t="str">
        <x:v>C04E03 Kip: geometry.prior_sight_attention_seconds</x:v>
      </x:c>
      <x:c r="E412" s="60" t="n">
        <x:v>1</x:v>
      </x:c>
      <x:c r="F412" s="19" t="str">
        <x:v>Planned</x:v>
      </x:c>
    </x:row>
    <x:row r="413" ht="28" customHeight="1">
      <x:c r="A413" s="17" t="str">
        <x:v>F406</x:v>
      </x:c>
      <x:c r="B413" s="51" t="n">
        <x:v>4</x:v>
      </x:c>
      <x:c r="C413" s="17" t="str">
        <x:v>Event detail</x:v>
      </x:c>
      <x:c r="D413" s="20" t="str">
        <x:v>C04E03 Kip: geometry.visible_at_start</x:v>
      </x:c>
      <x:c r="E413" s="59" t="b">
        <x:v>1</x:v>
      </x:c>
      <x:c r="F413" s="20" t="str">
        <x:v>Planned</x:v>
      </x:c>
    </x:row>
    <x:row r="414" ht="32" customHeight="1">
      <x:c r="A414" s="2" t="str">
        <x:v>F407</x:v>
      </x:c>
      <x:c r="B414" s="50" t="n">
        <x:v>4</x:v>
      </x:c>
      <x:c r="C414" s="2" t="str">
        <x:v>Event detail</x:v>
      </x:c>
      <x:c r="D414" s="19" t="str">
        <x:v>C04E03 Kip: geometry.available_at_start</x:v>
      </x:c>
      <x:c r="E414" s="58" t="b">
        <x:v>1</x:v>
      </x:c>
      <x:c r="F414" s="19" t="str">
        <x:v>Planned</x:v>
      </x:c>
    </x:row>
    <x:row r="415" ht="32" customHeight="1">
      <x:c r="A415" s="17" t="str">
        <x:v>F408</x:v>
      </x:c>
      <x:c r="B415" s="51" t="n">
        <x:v>4</x:v>
      </x:c>
      <x:c r="C415" s="17" t="str">
        <x:v>Event detail</x:v>
      </x:c>
      <x:c r="D415" s="20" t="str">
        <x:v>C04E03 Kip: geometry.within_normal_mechanical_arc</x:v>
      </x:c>
      <x:c r="E415" s="59" t="b">
        <x:v>1</x:v>
      </x:c>
      <x:c r="F415" s="20" t="str">
        <x:v>Planned</x:v>
      </x:c>
    </x:row>
    <x:row r="416" ht="28" customHeight="1">
      <x:c r="A416" s="2" t="str">
        <x:v>F409</x:v>
      </x:c>
      <x:c r="B416" s="50" t="n">
        <x:v>4</x:v>
      </x:c>
      <x:c r="C416" s="2" t="str">
        <x:v>Event detail</x:v>
      </x:c>
      <x:c r="D416" s="19" t="str">
        <x:v>C04E03 Kip: geometry.ready_at_start</x:v>
      </x:c>
      <x:c r="E416" s="58" t="b">
        <x:v>1</x:v>
      </x:c>
      <x:c r="F416" s="19" t="str">
        <x:v>Planned</x:v>
      </x:c>
    </x:row>
    <x:row r="417" ht="32" customHeight="1">
      <x:c r="A417" s="17" t="str">
        <x:v>F410</x:v>
      </x:c>
      <x:c r="B417" s="51" t="n">
        <x:v>4</x:v>
      </x:c>
      <x:c r="C417" s="17" t="str">
        <x:v>Event detail</x:v>
      </x:c>
      <x:c r="D417" s="20" t="str">
        <x:v>C04E03 Kip: geometry.target_is_constructed_fixture</x:v>
      </x:c>
      <x:c r="E417" s="59" t="b">
        <x:v>1</x:v>
      </x:c>
      <x:c r="F417" s="20" t="str">
        <x:v>Planned</x:v>
      </x:c>
    </x:row>
    <x:row r="418" ht="32" customHeight="1">
      <x:c r="A418" s="2" t="str">
        <x:v>F411</x:v>
      </x:c>
      <x:c r="B418" s="50" t="n">
        <x:v>4</x:v>
      </x:c>
      <x:c r="C418" s="2" t="str">
        <x:v>Event detail</x:v>
      </x:c>
      <x:c r="D418" s="19" t="str">
        <x:v>C04E03 Kip: geometry.shield_removed_physically_if_any</x:v>
      </x:c>
      <x:c r="E418" s="58" t="b">
        <x:v>1</x:v>
      </x:c>
      <x:c r="F418" s="19" t="str">
        <x:v>Planned</x:v>
      </x:c>
    </x:row>
    <x:row r="419" ht="28" customHeight="1">
      <x:c r="A419" s="17" t="str">
        <x:v>F412</x:v>
      </x:c>
      <x:c r="B419" s="51" t="n">
        <x:v>4</x:v>
      </x:c>
      <x:c r="C419" s="17" t="str">
        <x:v>Event detail</x:v>
      </x:c>
      <x:c r="D419" s="20" t="str">
        <x:v>C04E03 Kip: outcome</x:v>
      </x:c>
      <x:c r="E419" s="20" t="str">
        <x:v>ordinary legal fixture function, no strengthened output</x:v>
      </x:c>
      <x:c r="F419" s="20" t="str">
        <x:v>Planned</x:v>
      </x:c>
    </x:row>
    <x:row r="420" ht="28" customHeight="1">
      <x:c r="A420" s="2" t="str">
        <x:v>F413</x:v>
      </x:c>
      <x:c r="B420" s="50" t="n">
        <x:v>4</x:v>
      </x:c>
      <x:c r="C420" s="2" t="str">
        <x:v>Event detail</x:v>
      </x:c>
      <x:c r="D420" s="19" t="str">
        <x:v>C04E04 Tessa: target</x:v>
      </x:c>
      <x:c r="E420" s="19" t="str">
        <x:v>open retreat path</x:v>
      </x:c>
      <x:c r="F420" s="19" t="str">
        <x:v>Planned</x:v>
      </x:c>
    </x:row>
    <x:row r="421" ht="28" customHeight="1">
      <x:c r="A421" s="17" t="str">
        <x:v>F414</x:v>
      </x:c>
      <x:c r="B421" s="51" t="n">
        <x:v>4</x:v>
      </x:c>
      <x:c r="C421" s="17" t="str">
        <x:v>Event detail</x:v>
      </x:c>
      <x:c r="D421" s="20" t="str">
        <x:v>C04E04 Tessa: geometry.path_length_m</x:v>
      </x:c>
      <x:c r="E421" s="61" t="n">
        <x:v>8</x:v>
      </x:c>
      <x:c r="F421" s="20" t="str">
        <x:v>Planned</x:v>
      </x:c>
    </x:row>
    <x:row r="422" ht="32" customHeight="1">
      <x:c r="A422" s="2" t="str">
        <x:v>F415</x:v>
      </x:c>
      <x:c r="B422" s="50" t="n">
        <x:v>4</x:v>
      </x:c>
      <x:c r="C422" s="2" t="str">
        <x:v>Event detail</x:v>
      </x:c>
      <x:c r="D422" s="19" t="str">
        <x:v>C04E04 Tessa: geometry.visible_traversable_physical_path</x:v>
      </x:c>
      <x:c r="E422" s="58" t="b">
        <x:v>1</x:v>
      </x:c>
      <x:c r="F422" s="19" t="str">
        <x:v>Planned</x:v>
      </x:c>
    </x:row>
    <x:row r="423" ht="32" customHeight="1">
      <x:c r="A423" s="17" t="str">
        <x:v>F416</x:v>
      </x:c>
      <x:c r="B423" s="51" t="n">
        <x:v>4</x:v>
      </x:c>
      <x:c r="C423" s="17" t="str">
        <x:v>Event detail</x:v>
      </x:c>
      <x:c r="D423" s="20" t="str">
        <x:v>C04E04 Tessa: geometry.passes_through_creature_wall_or_restraint</x:v>
      </x:c>
      <x:c r="E423" s="59" t="b">
        <x:v>0</x:v>
      </x:c>
      <x:c r="F423" s="20" t="str">
        <x:v>Planned</x:v>
      </x:c>
    </x:row>
    <x:row r="424" ht="32" customHeight="1">
      <x:c r="A424" s="2" t="str">
        <x:v>F417</x:v>
      </x:c>
      <x:c r="B424" s="50" t="n">
        <x:v>4</x:v>
      </x:c>
      <x:c r="C424" s="2" t="str">
        <x:v>Event detail</x:v>
      </x:c>
      <x:c r="D424" s="19" t="str">
        <x:v>C04E04 Tessa: geometry.carries_another_adult</x:v>
      </x:c>
      <x:c r="E424" s="58" t="b">
        <x:v>0</x:v>
      </x:c>
      <x:c r="F424" s="19" t="str">
        <x:v>Planned</x:v>
      </x:c>
    </x:row>
    <x:row r="425" ht="32" customHeight="1">
      <x:c r="A425" s="17" t="str">
        <x:v>F418</x:v>
      </x:c>
      <x:c r="B425" s="51" t="n">
        <x:v>4</x:v>
      </x:c>
      <x:c r="C425" s="17" t="str">
        <x:v>Event detail</x:v>
      </x:c>
      <x:c r="D425" s="20" t="str">
        <x:v>C04E04 Tessa: geometry.crosses_otherwise_impossible_gap</x:v>
      </x:c>
      <x:c r="E425" s="59" t="b">
        <x:v>0</x:v>
      </x:c>
      <x:c r="F425" s="20" t="str">
        <x:v>Planned</x:v>
      </x:c>
    </x:row>
    <x:row r="426" ht="32" customHeight="1">
      <x:c r="A426" s="2" t="str">
        <x:v>F419</x:v>
      </x:c>
      <x:c r="B426" s="50" t="n">
        <x:v>4</x:v>
      </x:c>
      <x:c r="C426" s="2" t="str">
        <x:v>Event detail</x:v>
      </x:c>
      <x:c r="D426" s="19" t="str">
        <x:v>C04E04 Tessa: geometry.hazard_immunity_assumed</x:v>
      </x:c>
      <x:c r="E426" s="58" t="b">
        <x:v>0</x:v>
      </x:c>
      <x:c r="F426" s="19" t="str">
        <x:v>Planned</x:v>
      </x:c>
    </x:row>
    <x:row r="427" ht="28" customHeight="1">
      <x:c r="A427" s="17" t="str">
        <x:v>F420</x:v>
      </x:c>
      <x:c r="B427" s="51" t="n">
        <x:v>4</x:v>
      </x:c>
      <x:c r="C427" s="17" t="str">
        <x:v>Event detail</x:v>
      </x:c>
      <x:c r="D427" s="20" t="str">
        <x:v>C04E05 Dane: target</x:v>
      </x:c>
      <x:c r="E427" s="20" t="str">
        <x:v>frontal withdrawal</x:v>
      </x:c>
      <x:c r="F427" s="20" t="str">
        <x:v>Planned</x:v>
      </x:c>
    </x:row>
    <x:row r="428" ht="32" customHeight="1">
      <x:c r="A428" s="2" t="str">
        <x:v>F421</x:v>
      </x:c>
      <x:c r="B428" s="50" t="n">
        <x:v>4</x:v>
      </x:c>
      <x:c r="C428" s="2" t="str">
        <x:v>Event detail</x:v>
      </x:c>
      <x:c r="D428" s="19" t="str">
        <x:v>C04E05 Dane: geometry.weapon_raised_in_right_hand</x:v>
      </x:c>
      <x:c r="E428" s="58" t="b">
        <x:v>1</x:v>
      </x:c>
      <x:c r="F428" s="19" t="str">
        <x:v>Planned</x:v>
      </x:c>
    </x:row>
    <x:row r="429" ht="28" customHeight="1">
      <x:c r="A429" s="17" t="str">
        <x:v>F422</x:v>
      </x:c>
      <x:c r="B429" s="51" t="n">
        <x:v>4</x:v>
      </x:c>
      <x:c r="C429" s="17" t="str">
        <x:v>Event detail</x:v>
      </x:c>
      <x:c r="D429" s="20" t="str">
        <x:v>C04E05 Dane: geometry.effect_seconds</x:v>
      </x:c>
      <x:c r="E429" s="61" t="n">
        <x:v>8</x:v>
      </x:c>
      <x:c r="F429" s="20" t="str">
        <x:v>Planned</x:v>
      </x:c>
    </x:row>
    <x:row r="430" ht="32" customHeight="1">
      <x:c r="A430" s="2" t="str">
        <x:v>F423</x:v>
      </x:c>
      <x:c r="B430" s="50" t="n">
        <x:v>4</x:v>
      </x:c>
      <x:c r="C430" s="2" t="str">
        <x:v>Event detail</x:v>
      </x:c>
      <x:c r="D430" s="19" t="str">
        <x:v>C04E05 Dane: geometry.physical_attack_crosses_front</x:v>
      </x:c>
      <x:c r="E430" s="58" t="b">
        <x:v>1</x:v>
      </x:c>
      <x:c r="F430" s="19" t="str">
        <x:v>Planned</x:v>
      </x:c>
    </x:row>
    <x:row r="431" ht="32" customHeight="1">
      <x:c r="A431" s="17" t="str">
        <x:v>F424</x:v>
      </x:c>
      <x:c r="B431" s="51" t="n">
        <x:v>4</x:v>
      </x:c>
      <x:c r="C431" s="17" t="str">
        <x:v>Event detail</x:v>
      </x:c>
      <x:c r="D431" s="20" t="str">
        <x:v>C04E05 Dane: geometry.runs_or_attacks_during_effect</x:v>
      </x:c>
      <x:c r="E431" s="59" t="b">
        <x:v>0</x:v>
      </x:c>
      <x:c r="F431" s="20" t="str">
        <x:v>Planned</x:v>
      </x:c>
    </x:row>
    <x:row r="432" ht="32" customHeight="1">
      <x:c r="A432" s="2" t="str">
        <x:v>F425</x:v>
      </x:c>
      <x:c r="B432" s="50" t="n">
        <x:v>4</x:v>
      </x:c>
      <x:c r="C432" s="2" t="str">
        <x:v>Event detail</x:v>
      </x:c>
      <x:c r="D432" s="19" t="str">
        <x:v>C04E05 Dane: geometry.blocks_heat_poison_or_suffocation</x:v>
      </x:c>
      <x:c r="E432" s="58" t="b">
        <x:v>0</x:v>
      </x:c>
      <x:c r="F432" s="19" t="str">
        <x:v>Planned</x:v>
      </x:c>
    </x:row>
    <x:row r="433" ht="32" customHeight="1">
      <x:c r="A433" s="17" t="str">
        <x:v>F426</x:v>
      </x:c>
      <x:c r="B433" s="51" t="n">
        <x:v>4</x:v>
      </x:c>
      <x:c r="C433" s="17" t="str">
        <x:v>Event detail</x:v>
      </x:c>
      <x:c r="D433" s="20" t="str">
        <x:v>C04E05 Dane: geometry.reduced_force_still_can_hurt</x:v>
      </x:c>
      <x:c r="E433" s="59" t="b">
        <x:v>1</x:v>
      </x:c>
      <x:c r="F433" s="20" t="str">
        <x:v>Planned</x:v>
      </x:c>
    </x:row>
    <x:row r="434" ht="28" customHeight="1">
      <x:c r="A434" s="2" t="str">
        <x:v>F427</x:v>
      </x:c>
      <x:c r="B434" s="50" t="n">
        <x:v>4</x:v>
      </x:c>
      <x:c r="C434" s="2" t="str">
        <x:v>Event detail</x:v>
      </x:c>
      <x:c r="D434" s="19" t="str">
        <x:v>C04E06 Kip: target</x:v>
      </x:c>
      <x:c r="E434" s="19" t="str">
        <x:v>physical barb lane</x:v>
      </x:c>
      <x:c r="F434" s="19" t="str">
        <x:v>Planned</x:v>
      </x:c>
    </x:row>
    <x:row r="435" ht="28" customHeight="1">
      <x:c r="A435" s="17" t="str">
        <x:v>F428</x:v>
      </x:c>
      <x:c r="B435" s="51" t="n">
        <x:v>4</x:v>
      </x:c>
      <x:c r="C435" s="17" t="str">
        <x:v>Event detail</x:v>
      </x:c>
      <x:c r="D435" s="20" t="str">
        <x:v>C04E06 Kip: note</x:v>
      </x:c>
      <x:c r="E435" s="20" t="str">
        <x:v>Setup complete before barb arrives; no heat/water protection.</x:v>
      </x:c>
      <x:c r="F435" s="20" t="str">
        <x:v>Planned</x:v>
      </x:c>
    </x:row>
    <x:row r="436" ht="28" customHeight="1">
      <x:c r="A436" s="2" t="str">
        <x:v>F429</x:v>
      </x:c>
      <x:c r="B436" s="50" t="n">
        <x:v>4</x:v>
      </x:c>
      <x:c r="C436" s="2" t="str">
        <x:v>Event detail</x:v>
      </x:c>
      <x:c r="D436" s="19" t="str">
        <x:v>C04E06 Kip: setup_seconds</x:v>
      </x:c>
      <x:c r="E436" s="60" t="n">
        <x:v>2</x:v>
      </x:c>
      <x:c r="F436" s="19" t="str">
        <x:v>Planned</x:v>
      </x:c>
    </x:row>
    <x:row r="437" ht="32" customHeight="1">
      <x:c r="A437" s="17" t="str">
        <x:v>F430</x:v>
      </x:c>
      <x:c r="B437" s="51" t="n">
        <x:v>4</x:v>
      </x:c>
      <x:c r="C437" s="17" t="str">
        <x:v>Event detail</x:v>
      </x:c>
      <x:c r="D437" s="20" t="str">
        <x:v>C04E06 Kip: physical_impact_seconds_after_start</x:v>
      </x:c>
      <x:c r="E437" s="61" t="n">
        <x:v>8</x:v>
      </x:c>
      <x:c r="F437" s="20" t="str">
        <x:v>Planned</x:v>
      </x:c>
    </x:row>
    <x:row r="438" ht="28" customHeight="1">
      <x:c r="A438" s="2" t="str">
        <x:v>F431</x:v>
      </x:c>
      <x:c r="B438" s="50" t="n">
        <x:v>4</x:v>
      </x:c>
      <x:c r="C438" s="2" t="str">
        <x:v>Event detail</x:v>
      </x:c>
      <x:c r="D438" s="19" t="str">
        <x:v>C04E06 Kip: geometry.clear_ground</x:v>
      </x:c>
      <x:c r="E438" s="58" t="b">
        <x:v>1</x:v>
      </x:c>
      <x:c r="F438" s="19" t="str">
        <x:v>Planned</x:v>
      </x:c>
    </x:row>
    <x:row r="439" ht="28" customHeight="1">
      <x:c r="A439" s="17" t="str">
        <x:v>F432</x:v>
      </x:c>
      <x:c r="B439" s="51" t="n">
        <x:v>4</x:v>
      </x:c>
      <x:c r="C439" s="17" t="str">
        <x:v>Event detail</x:v>
      </x:c>
      <x:c r="D439" s="20" t="str">
        <x:v>C04E06 Kip: geometry.within_3m</x:v>
      </x:c>
      <x:c r="E439" s="59" t="b">
        <x:v>1</x:v>
      </x:c>
      <x:c r="F439" s="20" t="str">
        <x:v>Planned</x:v>
      </x:c>
    </x:row>
    <x:row r="440" ht="28" customHeight="1">
      <x:c r="A440" s="2" t="str">
        <x:v>F433</x:v>
      </x:c>
      <x:c r="B440" s="50" t="n">
        <x:v>4</x:v>
      </x:c>
      <x:c r="C440" s="2" t="str">
        <x:v>Event detail</x:v>
      </x:c>
      <x:c r="D440" s="19" t="str">
        <x:v>C04E06 Kip: geometry.upright_2m_square</x:v>
      </x:c>
      <x:c r="E440" s="58" t="b">
        <x:v>1</x:v>
      </x:c>
      <x:c r="F440" s="19" t="str">
        <x:v>Planned</x:v>
      </x:c>
    </x:row>
    <x:row r="441" ht="28" customHeight="1">
      <x:c r="A441" s="17" t="str">
        <x:v>F434</x:v>
      </x:c>
      <x:c r="B441" s="51" t="n">
        <x:v>4</x:v>
      </x:c>
      <x:c r="C441" s="17" t="str">
        <x:v>Event detail</x:v>
      </x:c>
      <x:c r="D441" s="20" t="str">
        <x:v>C04E06 Kip: geometry.stationary</x:v>
      </x:c>
      <x:c r="E441" s="59" t="b">
        <x:v>1</x:v>
      </x:c>
      <x:c r="F441" s="20" t="str">
        <x:v>Planned</x:v>
      </x:c>
    </x:row>
    <x:row r="442" ht="32" customHeight="1">
      <x:c r="A442" s="2" t="str">
        <x:v>F435</x:v>
      </x:c>
      <x:c r="B442" s="50" t="n">
        <x:v>4</x:v>
      </x:c>
      <x:c r="C442" s="2" t="str">
        <x:v>Event detail</x:v>
      </x:c>
      <x:c r="D442" s="19" t="str">
        <x:v>C04E06 Kip: geometry.physical_impact_crosses_front</x:v>
      </x:c>
      <x:c r="E442" s="58" t="b">
        <x:v>1</x:v>
      </x:c>
      <x:c r="F442" s="19" t="str">
        <x:v>Planned</x:v>
      </x:c>
    </x:row>
    <x:row r="443" ht="32" customHeight="1">
      <x:c r="A443" s="17" t="str">
        <x:v>F436</x:v>
      </x:c>
      <x:c r="B443" s="51" t="n">
        <x:v>4</x:v>
      </x:c>
      <x:c r="C443" s="17" t="str">
        <x:v>Event detail</x:v>
      </x:c>
      <x:c r="D443" s="20" t="str">
        <x:v>C04E06 Kip: geometry.blocks_heat_or_water</x:v>
      </x:c>
      <x:c r="E443" s="59" t="b">
        <x:v>0</x:v>
      </x:c>
      <x:c r="F443" s="20" t="str">
        <x:v>Planned</x:v>
      </x:c>
    </x:row>
    <x:row r="444" ht="28" customHeight="1">
      <x:c r="A444" s="2" t="str">
        <x:v>F437</x:v>
      </x:c>
      <x:c r="B444" s="50" t="n">
        <x:v>4</x:v>
      </x:c>
      <x:c r="C444" s="2" t="str">
        <x:v>Event detail</x:v>
      </x:c>
      <x:c r="D444" s="19" t="str">
        <x:v>C04E08 Kip: note</x:v>
      </x:c>
      <x:c r="E444" s="19" t="str">
        <x:v>Protected, seated, no casting/movement/attack; another awake person keeps watch.</x:v>
      </x:c>
      <x:c r="F444" s="19" t="str">
        <x:v>Planned</x:v>
      </x:c>
    </x:row>
    <x:row r="445" ht="28" customHeight="1">
      <x:c r="A445" s="17" t="str">
        <x:v>F438</x:v>
      </x:c>
      <x:c r="B445" s="51" t="n">
        <x:v>4</x:v>
      </x:c>
      <x:c r="C445" s="17" t="str">
        <x:v>Event detail</x:v>
      </x:c>
      <x:c r="D445" s="20" t="str">
        <x:v>C04E08 Kip: ends</x:v>
      </x:c>
      <x:c r="E445" s="20" t="str">
        <x:v>Day 1 10:44:00</x:v>
      </x:c>
      <x:c r="F445" s="20" t="str">
        <x:v>Planned</x:v>
      </x:c>
    </x:row>
    <x:row r="446" ht="28" customHeight="1">
      <x:c r="A446" s="2" t="str">
        <x:v>F439</x:v>
      </x:c>
      <x:c r="B446" s="50" t="n">
        <x:v>4</x:v>
      </x:c>
      <x:c r="C446" s="2" t="str">
        <x:v>Event detail</x:v>
      </x:c>
      <x:c r="D446" s="19" t="str">
        <x:v>C04E09 Tessa: note</x:v>
      </x:c>
      <x:c r="E446" s="19" t="str">
        <x:v>Protected, seated, no casting/movement/attack; another awake person keeps watch.</x:v>
      </x:c>
      <x:c r="F446" s="19" t="str">
        <x:v>Planned</x:v>
      </x:c>
    </x:row>
    <x:row r="447" ht="28" customHeight="1">
      <x:c r="A447" s="17" t="str">
        <x:v>F440</x:v>
      </x:c>
      <x:c r="B447" s="51" t="n">
        <x:v>4</x:v>
      </x:c>
      <x:c r="C447" s="17" t="str">
        <x:v>Event detail</x:v>
      </x:c>
      <x:c r="D447" s="20" t="str">
        <x:v>C04E09 Tessa: ends</x:v>
      </x:c>
      <x:c r="E447" s="20" t="str">
        <x:v>Day 1 10:44:00</x:v>
      </x:c>
      <x:c r="F447" s="20" t="str">
        <x:v>Planned</x:v>
      </x:c>
    </x:row>
    <x:row r="448" ht="28" customHeight="1">
      <x:c r="A448" s="2" t="str">
        <x:v>F441</x:v>
      </x:c>
      <x:c r="B448" s="50" t="n">
        <x:v>4</x:v>
      </x:c>
      <x:c r="C448" s="2" t="str">
        <x:v>Event detail</x:v>
      </x:c>
      <x:c r="D448" s="19" t="str">
        <x:v>C04E10 Owen: note</x:v>
      </x:c>
      <x:c r="E448" s="19" t="str">
        <x:v>Protected, seated, no casting/movement/attack; another awake person keeps watch.</x:v>
      </x:c>
      <x:c r="F448" s="19" t="str">
        <x:v>Planned</x:v>
      </x:c>
    </x:row>
    <x:row r="449" ht="28" customHeight="1">
      <x:c r="A449" s="17" t="str">
        <x:v>F442</x:v>
      </x:c>
      <x:c r="B449" s="51" t="n">
        <x:v>4</x:v>
      </x:c>
      <x:c r="C449" s="17" t="str">
        <x:v>Event detail</x:v>
      </x:c>
      <x:c r="D449" s="20" t="str">
        <x:v>C04E10 Owen: ends</x:v>
      </x:c>
      <x:c r="E449" s="20" t="str">
        <x:v>Day 1 10:41:00</x:v>
      </x:c>
      <x:c r="F449" s="20" t="str">
        <x:v>Planned</x:v>
      </x:c>
    </x:row>
    <x:row r="450" ht="28" customHeight="1">
      <x:c r="A450" s="2" t="str">
        <x:v>F443</x:v>
      </x:c>
      <x:c r="B450" s="50" t="n">
        <x:v>4</x:v>
      </x:c>
      <x:c r="C450" s="2" t="str">
        <x:v>Event detail</x:v>
      </x:c>
      <x:c r="D450" s="19" t="str">
        <x:v>C04E11 Dane: note</x:v>
      </x:c>
      <x:c r="E450" s="19" t="str">
        <x:v>Protected, seated, no casting/movement/attack; another awake person keeps watch.</x:v>
      </x:c>
      <x:c r="F450" s="19" t="str">
        <x:v>Planned</x:v>
      </x:c>
    </x:row>
    <x:row r="451" ht="28" customHeight="1">
      <x:c r="A451" s="17" t="str">
        <x:v>F444</x:v>
      </x:c>
      <x:c r="B451" s="51" t="n">
        <x:v>4</x:v>
      </x:c>
      <x:c r="C451" s="17" t="str">
        <x:v>Event detail</x:v>
      </x:c>
      <x:c r="D451" s="20" t="str">
        <x:v>C04E11 Dane: ends</x:v>
      </x:c>
      <x:c r="E451" s="20" t="str">
        <x:v>Day 1 10:52:00</x:v>
      </x:c>
      <x:c r="F451" s="20" t="str">
        <x:v>Planned</x:v>
      </x:c>
    </x:row>
    <x:row r="452" ht="28" customHeight="1">
      <x:c r="A452" s="2" t="str">
        <x:v>F445</x:v>
      </x:c>
      <x:c r="B452" s="50" t="n">
        <x:v>5</x:v>
      </x:c>
      <x:c r="C452" s="2" t="str">
        <x:v>Event detail</x:v>
      </x:c>
      <x:c r="D452" s="19" t="str">
        <x:v>C05E01 Tessa: target</x:v>
      </x:c>
      <x:c r="E452" s="19" t="str">
        <x:v>fresh grazer trail</x:v>
      </x:c>
      <x:c r="F452" s="19" t="str">
        <x:v>Planned</x:v>
      </x:c>
    </x:row>
    <x:row r="453" ht="32" customHeight="1">
      <x:c r="A453" s="17" t="str">
        <x:v>F446</x:v>
      </x:c>
      <x:c r="B453" s="51" t="n">
        <x:v>5</x:v>
      </x:c>
      <x:c r="C453" s="17" t="str">
        <x:v>Event detail</x:v>
      </x:c>
      <x:c r="D453" s="20" t="str">
        <x:v>C05E01 Tessa: geometry.physical_track_inspected</x:v>
      </x:c>
      <x:c r="E453" s="59" t="b">
        <x:v>1</x:v>
      </x:c>
      <x:c r="F453" s="20" t="str">
        <x:v>Planned</x:v>
      </x:c>
    </x:row>
    <x:row r="454" ht="32" customHeight="1">
      <x:c r="A454" s="2" t="str">
        <x:v>F447</x:v>
      </x:c>
      <x:c r="B454" s="50" t="n">
        <x:v>5</x:v>
      </x:c>
      <x:c r="C454" s="2" t="str">
        <x:v>Event detail</x:v>
      </x:c>
      <x:c r="D454" s="19" t="str">
        <x:v>C05E01 Tessa: geometry.oldest_trace_minutes</x:v>
      </x:c>
      <x:c r="E454" s="60" t="n">
        <x:v>60</x:v>
      </x:c>
      <x:c r="F454" s="19" t="str">
        <x:v>Planned</x:v>
      </x:c>
    </x:row>
    <x:row r="455" ht="28" customHeight="1">
      <x:c r="A455" s="17" t="str">
        <x:v>F448</x:v>
      </x:c>
      <x:c r="B455" s="51" t="n">
        <x:v>5</x:v>
      </x:c>
      <x:c r="C455" s="17" t="str">
        <x:v>Event detail</x:v>
      </x:c>
      <x:c r="D455" s="20" t="str">
        <x:v>C05E01 Tessa: geometry.radius_m</x:v>
      </x:c>
      <x:c r="E455" s="61" t="n">
        <x:v>25</x:v>
      </x:c>
      <x:c r="F455" s="20" t="str">
        <x:v>Planned</x:v>
      </x:c>
    </x:row>
    <x:row r="456" ht="32" customHeight="1">
      <x:c r="A456" s="2" t="str">
        <x:v>F449</x:v>
      </x:c>
      <x:c r="B456" s="50" t="n">
        <x:v>5</x:v>
      </x:c>
      <x:c r="C456" s="2" t="str">
        <x:v>Event detail</x:v>
      </x:c>
      <x:c r="D456" s="19" t="str">
        <x:v>C05E01 Tessa: geometry.trace_visible_line_of_sight</x:v>
      </x:c>
      <x:c r="E456" s="58" t="b">
        <x:v>1</x:v>
      </x:c>
      <x:c r="F456" s="19" t="str">
        <x:v>Planned</x:v>
      </x:c>
    </x:row>
    <x:row r="457" ht="32" customHeight="1">
      <x:c r="A457" s="17" t="str">
        <x:v>F450</x:v>
      </x:c>
      <x:c r="B457" s="51" t="n">
        <x:v>5</x:v>
      </x:c>
      <x:c r="C457" s="17" t="str">
        <x:v>Event detail</x:v>
      </x:c>
      <x:c r="D457" s="20" t="str">
        <x:v>C05E01 Tessa: geometry.reveals_current_person_location_or_mind</x:v>
      </x:c>
      <x:c r="E457" s="59" t="b">
        <x:v>0</x:v>
      </x:c>
      <x:c r="F457" s="20" t="str">
        <x:v>Planned</x:v>
      </x:c>
    </x:row>
    <x:row r="458" ht="28" customHeight="1">
      <x:c r="A458" s="2" t="str">
        <x:v>F451</x:v>
      </x:c>
      <x:c r="B458" s="50" t="n">
        <x:v>5</x:v>
      </x:c>
      <x:c r="C458" s="2" t="str">
        <x:v>Event detail</x:v>
      </x:c>
      <x:c r="D458" s="19" t="str">
        <x:v>C05E02 Tessa: target</x:v>
      </x:c>
      <x:c r="E458" s="19" t="str">
        <x:v>visible safe path</x:v>
      </x:c>
      <x:c r="F458" s="19" t="str">
        <x:v>Planned</x:v>
      </x:c>
    </x:row>
    <x:row r="459" ht="28" customHeight="1">
      <x:c r="A459" s="17" t="str">
        <x:v>F452</x:v>
      </x:c>
      <x:c r="B459" s="51" t="n">
        <x:v>5</x:v>
      </x:c>
      <x:c r="C459" s="17" t="str">
        <x:v>Event detail</x:v>
      </x:c>
      <x:c r="D459" s="20" t="str">
        <x:v>C05E02 Tessa: geometry.path_length_m</x:v>
      </x:c>
      <x:c r="E459" s="61" t="n">
        <x:v>8</x:v>
      </x:c>
      <x:c r="F459" s="20" t="str">
        <x:v>Planned</x:v>
      </x:c>
    </x:row>
    <x:row r="460" ht="32" customHeight="1">
      <x:c r="A460" s="2" t="str">
        <x:v>F453</x:v>
      </x:c>
      <x:c r="B460" s="50" t="n">
        <x:v>5</x:v>
      </x:c>
      <x:c r="C460" s="2" t="str">
        <x:v>Event detail</x:v>
      </x:c>
      <x:c r="D460" s="19" t="str">
        <x:v>C05E02 Tessa: geometry.visible_traversable_physical_path</x:v>
      </x:c>
      <x:c r="E460" s="58" t="b">
        <x:v>1</x:v>
      </x:c>
      <x:c r="F460" s="19" t="str">
        <x:v>Planned</x:v>
      </x:c>
    </x:row>
    <x:row r="461" ht="32" customHeight="1">
      <x:c r="A461" s="17" t="str">
        <x:v>F454</x:v>
      </x:c>
      <x:c r="B461" s="51" t="n">
        <x:v>5</x:v>
      </x:c>
      <x:c r="C461" s="17" t="str">
        <x:v>Event detail</x:v>
      </x:c>
      <x:c r="D461" s="20" t="str">
        <x:v>C05E02 Tessa: geometry.passes_through_creature_wall_or_restraint</x:v>
      </x:c>
      <x:c r="E461" s="59" t="b">
        <x:v>0</x:v>
      </x:c>
      <x:c r="F461" s="20" t="str">
        <x:v>Planned</x:v>
      </x:c>
    </x:row>
    <x:row r="462" ht="32" customHeight="1">
      <x:c r="A462" s="2" t="str">
        <x:v>F455</x:v>
      </x:c>
      <x:c r="B462" s="50" t="n">
        <x:v>5</x:v>
      </x:c>
      <x:c r="C462" s="2" t="str">
        <x:v>Event detail</x:v>
      </x:c>
      <x:c r="D462" s="19" t="str">
        <x:v>C05E02 Tessa: geometry.carries_another_adult</x:v>
      </x:c>
      <x:c r="E462" s="58" t="b">
        <x:v>0</x:v>
      </x:c>
      <x:c r="F462" s="19" t="str">
        <x:v>Planned</x:v>
      </x:c>
    </x:row>
    <x:row r="463" ht="32" customHeight="1">
      <x:c r="A463" s="17" t="str">
        <x:v>F456</x:v>
      </x:c>
      <x:c r="B463" s="51" t="n">
        <x:v>5</x:v>
      </x:c>
      <x:c r="C463" s="17" t="str">
        <x:v>Event detail</x:v>
      </x:c>
      <x:c r="D463" s="20" t="str">
        <x:v>C05E02 Tessa: geometry.crosses_otherwise_impossible_gap</x:v>
      </x:c>
      <x:c r="E463" s="59" t="b">
        <x:v>0</x:v>
      </x:c>
      <x:c r="F463" s="20" t="str">
        <x:v>Planned</x:v>
      </x:c>
    </x:row>
    <x:row r="464" ht="32" customHeight="1">
      <x:c r="A464" s="2" t="str">
        <x:v>F457</x:v>
      </x:c>
      <x:c r="B464" s="50" t="n">
        <x:v>5</x:v>
      </x:c>
      <x:c r="C464" s="2" t="str">
        <x:v>Event detail</x:v>
      </x:c>
      <x:c r="D464" s="19" t="str">
        <x:v>C05E02 Tessa: geometry.hazard_immunity_assumed</x:v>
      </x:c>
      <x:c r="E464" s="58" t="b">
        <x:v>0</x:v>
      </x:c>
      <x:c r="F464" s="19" t="str">
        <x:v>Planned</x:v>
      </x:c>
    </x:row>
    <x:row r="465" ht="28" customHeight="1">
      <x:c r="A465" s="17" t="str">
        <x:v>F458</x:v>
      </x:c>
      <x:c r="B465" s="51" t="n">
        <x:v>5</x:v>
      </x:c>
      <x:c r="C465" s="17" t="str">
        <x:v>Event detail</x:v>
      </x:c>
      <x:c r="D465" s="20" t="str">
        <x:v>C05E03 Kip: target</x:v>
      </x:c>
      <x:c r="E465" s="20" t="str">
        <x:v>physical predator lunge lane</x:v>
      </x:c>
      <x:c r="F465" s="20" t="str">
        <x:v>Planned</x:v>
      </x:c>
    </x:row>
    <x:row r="466" ht="28" customHeight="1">
      <x:c r="A466" s="2" t="str">
        <x:v>F459</x:v>
      </x:c>
      <x:c r="B466" s="50" t="n">
        <x:v>5</x:v>
      </x:c>
      <x:c r="C466" s="2" t="str">
        <x:v>Event detail</x:v>
      </x:c>
      <x:c r="D466" s="19" t="str">
        <x:v>C05E03 Kip: setup_seconds</x:v>
      </x:c>
      <x:c r="E466" s="60" t="n">
        <x:v>2</x:v>
      </x:c>
      <x:c r="F466" s="19" t="str">
        <x:v>Planned</x:v>
      </x:c>
    </x:row>
    <x:row r="467" ht="32" customHeight="1">
      <x:c r="A467" s="17" t="str">
        <x:v>F460</x:v>
      </x:c>
      <x:c r="B467" s="51" t="n">
        <x:v>5</x:v>
      </x:c>
      <x:c r="C467" s="17" t="str">
        <x:v>Event detail</x:v>
      </x:c>
      <x:c r="D467" s="20" t="str">
        <x:v>C05E03 Kip: physical_impact_seconds_after_start</x:v>
      </x:c>
      <x:c r="E467" s="61" t="n">
        <x:v>8</x:v>
      </x:c>
      <x:c r="F467" s="20" t="str">
        <x:v>Planned</x:v>
      </x:c>
    </x:row>
    <x:row r="468" ht="28" customHeight="1">
      <x:c r="A468" s="2" t="str">
        <x:v>F461</x:v>
      </x:c>
      <x:c r="B468" s="50" t="n">
        <x:v>5</x:v>
      </x:c>
      <x:c r="C468" s="2" t="str">
        <x:v>Event detail</x:v>
      </x:c>
      <x:c r="D468" s="19" t="str">
        <x:v>C05E03 Kip: geometry.clear_ground</x:v>
      </x:c>
      <x:c r="E468" s="58" t="b">
        <x:v>1</x:v>
      </x:c>
      <x:c r="F468" s="19" t="str">
        <x:v>Planned</x:v>
      </x:c>
    </x:row>
    <x:row r="469" ht="28" customHeight="1">
      <x:c r="A469" s="17" t="str">
        <x:v>F462</x:v>
      </x:c>
      <x:c r="B469" s="51" t="n">
        <x:v>5</x:v>
      </x:c>
      <x:c r="C469" s="17" t="str">
        <x:v>Event detail</x:v>
      </x:c>
      <x:c r="D469" s="20" t="str">
        <x:v>C05E03 Kip: geometry.within_3m</x:v>
      </x:c>
      <x:c r="E469" s="59" t="b">
        <x:v>1</x:v>
      </x:c>
      <x:c r="F469" s="20" t="str">
        <x:v>Planned</x:v>
      </x:c>
    </x:row>
    <x:row r="470" ht="28" customHeight="1">
      <x:c r="A470" s="2" t="str">
        <x:v>F463</x:v>
      </x:c>
      <x:c r="B470" s="50" t="n">
        <x:v>5</x:v>
      </x:c>
      <x:c r="C470" s="2" t="str">
        <x:v>Event detail</x:v>
      </x:c>
      <x:c r="D470" s="19" t="str">
        <x:v>C05E03 Kip: geometry.upright_2m_square</x:v>
      </x:c>
      <x:c r="E470" s="58" t="b">
        <x:v>1</x:v>
      </x:c>
      <x:c r="F470" s="19" t="str">
        <x:v>Planned</x:v>
      </x:c>
    </x:row>
    <x:row r="471" ht="28" customHeight="1">
      <x:c r="A471" s="17" t="str">
        <x:v>F464</x:v>
      </x:c>
      <x:c r="B471" s="51" t="n">
        <x:v>5</x:v>
      </x:c>
      <x:c r="C471" s="17" t="str">
        <x:v>Event detail</x:v>
      </x:c>
      <x:c r="D471" s="20" t="str">
        <x:v>C05E03 Kip: geometry.stationary</x:v>
      </x:c>
      <x:c r="E471" s="59" t="b">
        <x:v>1</x:v>
      </x:c>
      <x:c r="F471" s="20" t="str">
        <x:v>Planned</x:v>
      </x:c>
    </x:row>
    <x:row r="472" ht="32" customHeight="1">
      <x:c r="A472" s="2" t="str">
        <x:v>F465</x:v>
      </x:c>
      <x:c r="B472" s="50" t="n">
        <x:v>5</x:v>
      </x:c>
      <x:c r="C472" s="2" t="str">
        <x:v>Event detail</x:v>
      </x:c>
      <x:c r="D472" s="19" t="str">
        <x:v>C05E03 Kip: geometry.physical_impact_crosses_front</x:v>
      </x:c>
      <x:c r="E472" s="58" t="b">
        <x:v>1</x:v>
      </x:c>
      <x:c r="F472" s="19" t="str">
        <x:v>Planned</x:v>
      </x:c>
    </x:row>
    <x:row r="473" ht="32" customHeight="1">
      <x:c r="A473" s="17" t="str">
        <x:v>F466</x:v>
      </x:c>
      <x:c r="B473" s="51" t="n">
        <x:v>5</x:v>
      </x:c>
      <x:c r="C473" s="17" t="str">
        <x:v>Event detail</x:v>
      </x:c>
      <x:c r="D473" s="20" t="str">
        <x:v>C05E03 Kip: geometry.blocks_heat_or_water</x:v>
      </x:c>
      <x:c r="E473" s="59" t="b">
        <x:v>0</x:v>
      </x:c>
      <x:c r="F473" s="20" t="str">
        <x:v>Planned</x:v>
      </x:c>
    </x:row>
    <x:row r="474" ht="28" customHeight="1">
      <x:c r="A474" s="2" t="str">
        <x:v>F467</x:v>
      </x:c>
      <x:c r="B474" s="50" t="n">
        <x:v>5</x:v>
      </x:c>
      <x:c r="C474" s="2" t="str">
        <x:v>Event detail</x:v>
      </x:c>
      <x:c r="D474" s="19" t="str">
        <x:v>C05E04 Dane: target</x:v>
      </x:c>
      <x:c r="E474" s="19" t="str">
        <x:v>stranded worker within 8m</x:v>
      </x:c>
      <x:c r="F474" s="19" t="str">
        <x:v>Planned</x:v>
      </x:c>
    </x:row>
    <x:row r="475" ht="28" customHeight="1">
      <x:c r="A475" s="17" t="str">
        <x:v>F468</x:v>
      </x:c>
      <x:c r="B475" s="51" t="n">
        <x:v>5</x:v>
      </x:c>
      <x:c r="C475" s="17" t="str">
        <x:v>Event detail</x:v>
      </x:c>
      <x:c r="D475" s="20" t="str">
        <x:v>C05E04 Dane: geometry.path_length_m</x:v>
      </x:c>
      <x:c r="E475" s="61" t="n">
        <x:v>6</x:v>
      </x:c>
      <x:c r="F475" s="20" t="str">
        <x:v>Planned</x:v>
      </x:c>
    </x:row>
    <x:row r="476" ht="28" customHeight="1">
      <x:c r="A476" s="2" t="str">
        <x:v>F469</x:v>
      </x:c>
      <x:c r="B476" s="50" t="n">
        <x:v>5</x:v>
      </x:c>
      <x:c r="C476" s="2" t="str">
        <x:v>Event detail</x:v>
      </x:c>
      <x:c r="D476" s="19" t="str">
        <x:v>C05E04 Dane: geometry.visible_ally</x:v>
      </x:c>
      <x:c r="E476" s="58" t="b">
        <x:v>1</x:v>
      </x:c>
      <x:c r="F476" s="19" t="str">
        <x:v>Planned</x:v>
      </x:c>
    </x:row>
    <x:row r="477" ht="32" customHeight="1">
      <x:c r="A477" s="17" t="str">
        <x:v>F470</x:v>
      </x:c>
      <x:c r="B477" s="51" t="n">
        <x:v>5</x:v>
      </x:c>
      <x:c r="C477" s="17" t="str">
        <x:v>Event detail</x:v>
      </x:c>
      <x:c r="D477" s="20" t="str">
        <x:v>C05E04 Dane: geometry.clear_physical_path</x:v>
      </x:c>
      <x:c r="E477" s="59" t="b">
        <x:v>1</x:v>
      </x:c>
      <x:c r="F477" s="20" t="str">
        <x:v>Planned</x:v>
      </x:c>
    </x:row>
    <x:row r="478" ht="32" customHeight="1">
      <x:c r="A478" s="2" t="str">
        <x:v>F471</x:v>
      </x:c>
      <x:c r="B478" s="50" t="n">
        <x:v>5</x:v>
      </x:c>
      <x:c r="C478" s="2" t="str">
        <x:v>Event detail</x:v>
      </x:c>
      <x:c r="D478" s="19" t="str">
        <x:v>C05E04 Dane: geometry.functional_weapon_in_right_hand</x:v>
      </x:c>
      <x:c r="E478" s="58" t="b">
        <x:v>1</x:v>
      </x:c>
      <x:c r="F478" s="19" t="str">
        <x:v>Planned</x:v>
      </x:c>
    </x:row>
    <x:row r="479" ht="32" customHeight="1">
      <x:c r="A479" s="17" t="str">
        <x:v>F472</x:v>
      </x:c>
      <x:c r="B479" s="51" t="n">
        <x:v>5</x:v>
      </x:c>
      <x:c r="C479" s="17" t="str">
        <x:v>Event detail</x:v>
      </x:c>
      <x:c r="D479" s="20" t="str">
        <x:v>C05E04 Dane: geometry.uses_enhanced_block</x:v>
      </x:c>
      <x:c r="E479" s="59" t="b">
        <x:v>1</x:v>
      </x:c>
      <x:c r="F479" s="20" t="str">
        <x:v>Planned</x:v>
      </x:c>
    </x:row>
    <x:row r="480" ht="32" customHeight="1">
      <x:c r="A480" s="2" t="str">
        <x:v>F473</x:v>
      </x:c>
      <x:c r="B480" s="50" t="n">
        <x:v>5</x:v>
      </x:c>
      <x:c r="C480" s="2" t="str">
        <x:v>Event detail</x:v>
      </x:c>
      <x:c r="D480" s="19" t="str">
        <x:v>C05E04 Dane: geometry.block_seconds_after_activation</x:v>
      </x:c>
      <x:c r="E480" s="60" t="n">
        <x:v>2</x:v>
      </x:c>
      <x:c r="F480" s="19" t="str">
        <x:v>Planned</x:v>
      </x:c>
    </x:row>
    <x:row r="481" ht="32" customHeight="1">
      <x:c r="A481" s="17" t="str">
        <x:v>F474</x:v>
      </x:c>
      <x:c r="B481" s="51" t="n">
        <x:v>5</x:v>
      </x:c>
      <x:c r="C481" s="17" t="str">
        <x:v>Event detail</x:v>
      </x:c>
      <x:c r="D481" s="20" t="str">
        <x:v>C05E04 Dane: geometry.parryable_physical_attack</x:v>
      </x:c>
      <x:c r="E481" s="59" t="b">
        <x:v>1</x:v>
      </x:c>
      <x:c r="F481" s="20" t="str">
        <x:v>Planned</x:v>
      </x:c>
    </x:row>
    <x:row r="482" ht="32" customHeight="1">
      <x:c r="A482" s="2" t="str">
        <x:v>F475</x:v>
      </x:c>
      <x:c r="B482" s="50" t="n">
        <x:v>5</x:v>
      </x:c>
      <x:c r="C482" s="2" t="str">
        <x:v>Event detail</x:v>
      </x:c>
      <x:c r="D482" s="19" t="str">
        <x:v>C05E04 Dane: geometry.all_direction_protection_assumed</x:v>
      </x:c>
      <x:c r="E482" s="58" t="b">
        <x:v>0</x:v>
      </x:c>
      <x:c r="F482" s="19" t="str">
        <x:v>Planned</x:v>
      </x:c>
    </x:row>
    <x:row r="483" ht="28" customHeight="1">
      <x:c r="A483" s="17" t="str">
        <x:v>F476</x:v>
      </x:c>
      <x:c r="B483" s="51" t="n">
        <x:v>5</x:v>
      </x:c>
      <x:c r="C483" s="17" t="str">
        <x:v>Event detail</x:v>
      </x:c>
      <x:c r="D483" s="20" t="str">
        <x:v>C05E05 Kip: target</x:v>
      </x:c>
      <x:c r="E483" s="20" t="str">
        <x:v>garden-exit portcullis</x:v>
      </x:c>
      <x:c r="F483" s="20" t="str">
        <x:v>Planned</x:v>
      </x:c>
    </x:row>
    <x:row r="484" ht="32" customHeight="1">
      <x:c r="A484" s="2" t="str">
        <x:v>F477</x:v>
      </x:c>
      <x:c r="B484" s="50" t="n">
        <x:v>5</x:v>
      </x:c>
      <x:c r="C484" s="2" t="str">
        <x:v>Event detail</x:v>
      </x:c>
      <x:c r="D484" s="19" t="str">
        <x:v>C05E05 Kip: note</x:v>
      </x:c>
      <x:c r="E484" s="19" t="str">
        <x:v>Ready existing defensive gate; hold closed five seconds during last worker extraction; ordinary master control resumes afterward.</x:v>
      </x:c>
      <x:c r="F484" s="19" t="str">
        <x:v>Planned</x:v>
      </x:c>
    </x:row>
    <x:row r="485" ht="28" customHeight="1">
      <x:c r="A485" s="17" t="str">
        <x:v>F478</x:v>
      </x:c>
      <x:c r="B485" s="51" t="n">
        <x:v>5</x:v>
      </x:c>
      <x:c r="C485" s="17" t="str">
        <x:v>Event detail</x:v>
      </x:c>
      <x:c r="D485" s="20" t="str">
        <x:v>C05E05 Kip: control_seconds</x:v>
      </x:c>
      <x:c r="E485" s="61" t="n">
        <x:v>5</x:v>
      </x:c>
      <x:c r="F485" s="20" t="str">
        <x:v>Planned</x:v>
      </x:c>
    </x:row>
    <x:row r="486" ht="28" customHeight="1">
      <x:c r="A486" s="2" t="str">
        <x:v>F479</x:v>
      </x:c>
      <x:c r="B486" s="50" t="n">
        <x:v>5</x:v>
      </x:c>
      <x:c r="C486" s="2" t="str">
        <x:v>Event detail</x:v>
      </x:c>
      <x:c r="D486" s="19" t="str">
        <x:v>C05E05 Kip: geometry.distance_m</x:v>
      </x:c>
      <x:c r="E486" s="60" t="n">
        <x:v>6</x:v>
      </x:c>
      <x:c r="F486" s="19" t="str">
        <x:v>Planned</x:v>
      </x:c>
    </x:row>
    <x:row r="487" ht="32" customHeight="1">
      <x:c r="A487" s="17" t="str">
        <x:v>F480</x:v>
      </x:c>
      <x:c r="B487" s="51" t="n">
        <x:v>5</x:v>
      </x:c>
      <x:c r="C487" s="17" t="str">
        <x:v>Event detail</x:v>
      </x:c>
      <x:c r="D487" s="20" t="str">
        <x:v>C05E05 Kip: geometry.prior_sight_distance_m</x:v>
      </x:c>
      <x:c r="E487" s="61" t="n">
        <x:v>6</x:v>
      </x:c>
      <x:c r="F487" s="20" t="str">
        <x:v>Planned</x:v>
      </x:c>
    </x:row>
    <x:row r="488" ht="32" customHeight="1">
      <x:c r="A488" s="2" t="str">
        <x:v>F481</x:v>
      </x:c>
      <x:c r="B488" s="50" t="n">
        <x:v>5</x:v>
      </x:c>
      <x:c r="C488" s="2" t="str">
        <x:v>Event detail</x:v>
      </x:c>
      <x:c r="D488" s="19" t="str">
        <x:v>C05E05 Kip: geometry.prior_sight_attention_seconds</x:v>
      </x:c>
      <x:c r="E488" s="60" t="n">
        <x:v>1</x:v>
      </x:c>
      <x:c r="F488" s="19" t="str">
        <x:v>Planned</x:v>
      </x:c>
    </x:row>
    <x:row r="489" ht="28" customHeight="1">
      <x:c r="A489" s="17" t="str">
        <x:v>F482</x:v>
      </x:c>
      <x:c r="B489" s="51" t="n">
        <x:v>5</x:v>
      </x:c>
      <x:c r="C489" s="17" t="str">
        <x:v>Event detail</x:v>
      </x:c>
      <x:c r="D489" s="20" t="str">
        <x:v>C05E05 Kip: geometry.visible_at_start</x:v>
      </x:c>
      <x:c r="E489" s="59" t="b">
        <x:v>1</x:v>
      </x:c>
      <x:c r="F489" s="20" t="str">
        <x:v>Planned</x:v>
      </x:c>
    </x:row>
    <x:row r="490" ht="32" customHeight="1">
      <x:c r="A490" s="2" t="str">
        <x:v>F483</x:v>
      </x:c>
      <x:c r="B490" s="50" t="n">
        <x:v>5</x:v>
      </x:c>
      <x:c r="C490" s="2" t="str">
        <x:v>Event detail</x:v>
      </x:c>
      <x:c r="D490" s="19" t="str">
        <x:v>C05E05 Kip: geometry.available_at_start</x:v>
      </x:c>
      <x:c r="E490" s="58" t="b">
        <x:v>1</x:v>
      </x:c>
      <x:c r="F490" s="19" t="str">
        <x:v>Planned</x:v>
      </x:c>
    </x:row>
    <x:row r="491" ht="32" customHeight="1">
      <x:c r="A491" s="17" t="str">
        <x:v>F484</x:v>
      </x:c>
      <x:c r="B491" s="51" t="n">
        <x:v>5</x:v>
      </x:c>
      <x:c r="C491" s="17" t="str">
        <x:v>Event detail</x:v>
      </x:c>
      <x:c r="D491" s="20" t="str">
        <x:v>C05E05 Kip: geometry.within_normal_mechanical_arc</x:v>
      </x:c>
      <x:c r="E491" s="59" t="b">
        <x:v>1</x:v>
      </x:c>
      <x:c r="F491" s="20" t="str">
        <x:v>Planned</x:v>
      </x:c>
    </x:row>
    <x:row r="492" ht="28" customHeight="1">
      <x:c r="A492" s="2" t="str">
        <x:v>F485</x:v>
      </x:c>
      <x:c r="B492" s="50" t="n">
        <x:v>5</x:v>
      </x:c>
      <x:c r="C492" s="2" t="str">
        <x:v>Event detail</x:v>
      </x:c>
      <x:c r="D492" s="19" t="str">
        <x:v>C05E05 Kip: geometry.ready_at_start</x:v>
      </x:c>
      <x:c r="E492" s="58" t="b">
        <x:v>1</x:v>
      </x:c>
      <x:c r="F492" s="19" t="str">
        <x:v>Planned</x:v>
      </x:c>
    </x:row>
    <x:row r="493" ht="32" customHeight="1">
      <x:c r="A493" s="17" t="str">
        <x:v>F486</x:v>
      </x:c>
      <x:c r="B493" s="51" t="n">
        <x:v>5</x:v>
      </x:c>
      <x:c r="C493" s="17" t="str">
        <x:v>Event detail</x:v>
      </x:c>
      <x:c r="D493" s="20" t="str">
        <x:v>C05E05 Kip: geometry.target_is_constructed_fixture</x:v>
      </x:c>
      <x:c r="E493" s="59" t="b">
        <x:v>1</x:v>
      </x:c>
      <x:c r="F493" s="20" t="str">
        <x:v>Planned</x:v>
      </x:c>
    </x:row>
    <x:row r="494" ht="32" customHeight="1">
      <x:c r="A494" s="2" t="str">
        <x:v>F487</x:v>
      </x:c>
      <x:c r="B494" s="50" t="n">
        <x:v>5</x:v>
      </x:c>
      <x:c r="C494" s="2" t="str">
        <x:v>Event detail</x:v>
      </x:c>
      <x:c r="D494" s="19" t="str">
        <x:v>C05E05 Kip: geometry.shield_removed_physically_if_any</x:v>
      </x:c>
      <x:c r="E494" s="58" t="b">
        <x:v>1</x:v>
      </x:c>
      <x:c r="F494" s="19" t="str">
        <x:v>Planned</x:v>
      </x:c>
    </x:row>
    <x:row r="495" ht="28" customHeight="1">
      <x:c r="A495" s="17" t="str">
        <x:v>F488</x:v>
      </x:c>
      <x:c r="B495" s="51" t="n">
        <x:v>5</x:v>
      </x:c>
      <x:c r="C495" s="17" t="str">
        <x:v>Event detail</x:v>
      </x:c>
      <x:c r="D495" s="20" t="str">
        <x:v>C05E05 Kip: outcome</x:v>
      </x:c>
      <x:c r="E495" s="20" t="str">
        <x:v>ordinary legal fixture function, no strengthened output</x:v>
      </x:c>
      <x:c r="F495" s="20" t="str">
        <x:v>Planned</x:v>
      </x:c>
    </x:row>
    <x:row r="496" ht="28" customHeight="1">
      <x:c r="A496" s="2" t="str">
        <x:v>F489</x:v>
      </x:c>
      <x:c r="B496" s="50" t="n">
        <x:v>5</x:v>
      </x:c>
      <x:c r="C496" s="2" t="str">
        <x:v>Event detail</x:v>
      </x:c>
      <x:c r="D496" s="19" t="str">
        <x:v>C05E06 Owen: target</x:v>
      </x:c>
      <x:c r="E496" s="19" t="str">
        <x:v>rope-hauler 10cm/0.5cm shoulder cut</x:v>
      </x:c>
      <x:c r="F496" s="19" t="str">
        <x:v>Planned</x:v>
      </x:c>
    </x:row>
    <x:row r="497" ht="28" customHeight="1">
      <x:c r="A497" s="17" t="str">
        <x:v>F490</x:v>
      </x:c>
      <x:c r="B497" s="51" t="n">
        <x:v>5</x:v>
      </x:c>
      <x:c r="C497" s="17" t="str">
        <x:v>Event detail</x:v>
      </x:c>
      <x:c r="D497" s="20" t="str">
        <x:v>C05E06 Owen: geometry.wound_length_cm</x:v>
      </x:c>
      <x:c r="E497" s="61" t="n">
        <x:v>10</x:v>
      </x:c>
      <x:c r="F497" s="20" t="str">
        <x:v>Planned</x:v>
      </x:c>
    </x:row>
    <x:row r="498" ht="28" customHeight="1">
      <x:c r="A498" s="2" t="str">
        <x:v>F491</x:v>
      </x:c>
      <x:c r="B498" s="50" t="n">
        <x:v>5</x:v>
      </x:c>
      <x:c r="C498" s="2" t="str">
        <x:v>Event detail</x:v>
      </x:c>
      <x:c r="D498" s="19" t="str">
        <x:v>C05E06 Owen: geometry.wound_depth_cm</x:v>
      </x:c>
      <x:c r="E498" s="63" t="n">
        <x:v>0.5</x:v>
      </x:c>
      <x:c r="F498" s="19" t="str">
        <x:v>Planned</x:v>
      </x:c>
    </x:row>
    <x:row r="499" ht="28" customHeight="1">
      <x:c r="A499" s="17" t="str">
        <x:v>F492</x:v>
      </x:c>
      <x:c r="B499" s="51" t="n">
        <x:v>5</x:v>
      </x:c>
      <x:c r="C499" s="17" t="str">
        <x:v>Event detail</x:v>
      </x:c>
      <x:c r="D499" s="20" t="str">
        <x:v>C05E06 Owen: geometry.external_wound</x:v>
      </x:c>
      <x:c r="E499" s="59" t="b">
        <x:v>1</x:v>
      </x:c>
      <x:c r="F499" s="20" t="str">
        <x:v>Planned</x:v>
      </x:c>
    </x:row>
    <x:row r="500" ht="32" customHeight="1">
      <x:c r="A500" s="2" t="str">
        <x:v>F493</x:v>
      </x:c>
      <x:c r="B500" s="50" t="n">
        <x:v>5</x:v>
      </x:c>
      <x:c r="C500" s="2" t="str">
        <x:v>Event detail</x:v>
      </x:c>
      <x:c r="D500" s="19" t="str">
        <x:v>C05E06 Owen: geometry.tissue_present_and_aligned</x:v>
      </x:c>
      <x:c r="E500" s="58" t="b">
        <x:v>1</x:v>
      </x:c>
      <x:c r="F500" s="19" t="str">
        <x:v>Planned</x:v>
      </x:c>
    </x:row>
    <x:row r="501" ht="32" customHeight="1">
      <x:c r="A501" s="17" t="str">
        <x:v>F494</x:v>
      </x:c>
      <x:c r="B501" s="51" t="n">
        <x:v>5</x:v>
      </x:c>
      <x:c r="C501" s="17" t="str">
        <x:v>Event detail</x:v>
      </x:c>
      <x:c r="D501" s="20" t="str">
        <x:v>C05E06 Owen: geometry.uninterrupted_touch_seconds</x:v>
      </x:c>
      <x:c r="E501" s="61" t="n">
        <x:v>20</x:v>
      </x:c>
      <x:c r="F501" s="20" t="str">
        <x:v>Planned</x:v>
      </x:c>
    </x:row>
    <x:row r="502" ht="32" customHeight="1">
      <x:c r="A502" s="2" t="str">
        <x:v>F495</x:v>
      </x:c>
      <x:c r="B502" s="50" t="n">
        <x:v>5</x:v>
      </x:c>
      <x:c r="C502" s="2" t="str">
        <x:v>Event detail</x:v>
      </x:c>
      <x:c r="D502" s="19" t="str">
        <x:v>C05E06 Owen: geometry.repairs_bone_blood_organs_or_nerves</x:v>
      </x:c>
      <x:c r="E502" s="58" t="b">
        <x:v>0</x:v>
      </x:c>
      <x:c r="F502" s="19" t="str">
        <x:v>Planned</x:v>
      </x:c>
    </x:row>
    <x:row r="503" ht="32" customHeight="1">
      <x:c r="A503" s="17" t="str">
        <x:v>F496</x:v>
      </x:c>
      <x:c r="B503" s="51" t="n">
        <x:v>5</x:v>
      </x:c>
      <x:c r="C503" s="17" t="str">
        <x:v>Event detail</x:v>
      </x:c>
      <x:c r="D503" s="20" t="str">
        <x:v>C05E06 Owen: geometry.protected_position_for_channel_required_in_prose</x:v>
      </x:c>
      <x:c r="E503" s="59" t="b">
        <x:v>1</x:v>
      </x:c>
      <x:c r="F503" s="20" t="str">
        <x:v>Planned</x:v>
      </x:c>
    </x:row>
    <x:row r="504" ht="28" customHeight="1">
      <x:c r="A504" s="2" t="str">
        <x:v>F497</x:v>
      </x:c>
      <x:c r="B504" s="50" t="n">
        <x:v>5</x:v>
      </x:c>
      <x:c r="C504" s="2" t="str">
        <x:v>Event detail</x:v>
      </x:c>
      <x:c r="D504" s="19" t="str">
        <x:v>C05E08 Kip: note</x:v>
      </x:c>
      <x:c r="E504" s="19" t="str">
        <x:v>Protected, seated, no casting/movement/attack; another awake person keeps watch.</x:v>
      </x:c>
      <x:c r="F504" s="19" t="str">
        <x:v>Planned</x:v>
      </x:c>
    </x:row>
    <x:row r="505" ht="28" customHeight="1">
      <x:c r="A505" s="17" t="str">
        <x:v>F498</x:v>
      </x:c>
      <x:c r="B505" s="51" t="n">
        <x:v>5</x:v>
      </x:c>
      <x:c r="C505" s="17" t="str">
        <x:v>Event detail</x:v>
      </x:c>
      <x:c r="D505" s="20" t="str">
        <x:v>C05E08 Kip: ends</x:v>
      </x:c>
      <x:c r="E505" s="20" t="str">
        <x:v>Day 1 13:06:00</x:v>
      </x:c>
      <x:c r="F505" s="20" t="str">
        <x:v>Planned</x:v>
      </x:c>
    </x:row>
    <x:row r="506" ht="28" customHeight="1">
      <x:c r="A506" s="2" t="str">
        <x:v>F499</x:v>
      </x:c>
      <x:c r="B506" s="50" t="n">
        <x:v>5</x:v>
      </x:c>
      <x:c r="C506" s="2" t="str">
        <x:v>Event detail</x:v>
      </x:c>
      <x:c r="D506" s="19" t="str">
        <x:v>C05E09 Tessa: note</x:v>
      </x:c>
      <x:c r="E506" s="19" t="str">
        <x:v>Protected, seated, no casting/movement/attack; another awake person keeps watch.</x:v>
      </x:c>
      <x:c r="F506" s="19" t="str">
        <x:v>Planned</x:v>
      </x:c>
    </x:row>
    <x:row r="507" ht="28" customHeight="1">
      <x:c r="A507" s="17" t="str">
        <x:v>F500</x:v>
      </x:c>
      <x:c r="B507" s="51" t="n">
        <x:v>5</x:v>
      </x:c>
      <x:c r="C507" s="17" t="str">
        <x:v>Event detail</x:v>
      </x:c>
      <x:c r="D507" s="20" t="str">
        <x:v>C05E09 Tessa: ends</x:v>
      </x:c>
      <x:c r="E507" s="20" t="str">
        <x:v>Day 1 13:05:00</x:v>
      </x:c>
      <x:c r="F507" s="20" t="str">
        <x:v>Planned</x:v>
      </x:c>
    </x:row>
    <x:row r="508" ht="28" customHeight="1">
      <x:c r="A508" s="2" t="str">
        <x:v>F501</x:v>
      </x:c>
      <x:c r="B508" s="50" t="n">
        <x:v>5</x:v>
      </x:c>
      <x:c r="C508" s="2" t="str">
        <x:v>Event detail</x:v>
      </x:c>
      <x:c r="D508" s="19" t="str">
        <x:v>C05E10 Owen: note</x:v>
      </x:c>
      <x:c r="E508" s="19" t="str">
        <x:v>Protected, seated, no casting/movement/attack; another awake person keeps watch.</x:v>
      </x:c>
      <x:c r="F508" s="19" t="str">
        <x:v>Planned</x:v>
      </x:c>
    </x:row>
    <x:row r="509" ht="28" customHeight="1">
      <x:c r="A509" s="17" t="str">
        <x:v>F502</x:v>
      </x:c>
      <x:c r="B509" s="51" t="n">
        <x:v>5</x:v>
      </x:c>
      <x:c r="C509" s="17" t="str">
        <x:v>Event detail</x:v>
      </x:c>
      <x:c r="D509" s="20" t="str">
        <x:v>C05E10 Owen: ends</x:v>
      </x:c>
      <x:c r="E509" s="20" t="str">
        <x:v>Day 1 13:04:00</x:v>
      </x:c>
      <x:c r="F509" s="20" t="str">
        <x:v>Planned</x:v>
      </x:c>
    </x:row>
    <x:row r="510" ht="28" customHeight="1">
      <x:c r="A510" s="2" t="str">
        <x:v>F503</x:v>
      </x:c>
      <x:c r="B510" s="50" t="n">
        <x:v>5</x:v>
      </x:c>
      <x:c r="C510" s="2" t="str">
        <x:v>Event detail</x:v>
      </x:c>
      <x:c r="D510" s="19" t="str">
        <x:v>C05E11 Dane: note</x:v>
      </x:c>
      <x:c r="E510" s="19" t="str">
        <x:v>Protected, seated, no casting/movement/attack; another awake person keeps watch.</x:v>
      </x:c>
      <x:c r="F510" s="19" t="str">
        <x:v>Planned</x:v>
      </x:c>
    </x:row>
    <x:row r="511" ht="28" customHeight="1">
      <x:c r="A511" s="17" t="str">
        <x:v>F504</x:v>
      </x:c>
      <x:c r="B511" s="51" t="n">
        <x:v>5</x:v>
      </x:c>
      <x:c r="C511" s="17" t="str">
        <x:v>Event detail</x:v>
      </x:c>
      <x:c r="D511" s="20" t="str">
        <x:v>C05E11 Dane: ends</x:v>
      </x:c>
      <x:c r="E511" s="20" t="str">
        <x:v>Day 1 13:03:00</x:v>
      </x:c>
      <x:c r="F511" s="20" t="str">
        <x:v>Planned</x:v>
      </x:c>
    </x:row>
    <x:row r="512" ht="28" customHeight="1">
      <x:c r="A512" s="2" t="str">
        <x:v>F505</x:v>
      </x:c>
      <x:c r="B512" s="50" t="n">
        <x:v>6</x:v>
      </x:c>
      <x:c r="C512" s="2" t="str">
        <x:v>Event detail</x:v>
      </x:c>
      <x:c r="D512" s="19" t="str">
        <x:v>C06E01 Tessa: target</x:v>
      </x:c>
      <x:c r="E512" s="19" t="str">
        <x:v>clear shore path to physical protective rune</x:v>
      </x:c>
      <x:c r="F512" s="19" t="str">
        <x:v>Planned</x:v>
      </x:c>
    </x:row>
    <x:row r="513" ht="28" customHeight="1">
      <x:c r="A513" s="17" t="str">
        <x:v>F506</x:v>
      </x:c>
      <x:c r="B513" s="51" t="n">
        <x:v>6</x:v>
      </x:c>
      <x:c r="C513" s="17" t="str">
        <x:v>Event detail</x:v>
      </x:c>
      <x:c r="D513" s="20" t="str">
        <x:v>C06E01 Tessa: geometry.path_length_m</x:v>
      </x:c>
      <x:c r="E513" s="61" t="n">
        <x:v>8</x:v>
      </x:c>
      <x:c r="F513" s="20" t="str">
        <x:v>Planned</x:v>
      </x:c>
    </x:row>
    <x:row r="514" ht="32" customHeight="1">
      <x:c r="A514" s="2" t="str">
        <x:v>F507</x:v>
      </x:c>
      <x:c r="B514" s="50" t="n">
        <x:v>6</x:v>
      </x:c>
      <x:c r="C514" s="2" t="str">
        <x:v>Event detail</x:v>
      </x:c>
      <x:c r="D514" s="19" t="str">
        <x:v>C06E01 Tessa: geometry.visible_traversable_physical_path</x:v>
      </x:c>
      <x:c r="E514" s="58" t="b">
        <x:v>1</x:v>
      </x:c>
      <x:c r="F514" s="19" t="str">
        <x:v>Planned</x:v>
      </x:c>
    </x:row>
    <x:row r="515" ht="32" customHeight="1">
      <x:c r="A515" s="17" t="str">
        <x:v>F508</x:v>
      </x:c>
      <x:c r="B515" s="51" t="n">
        <x:v>6</x:v>
      </x:c>
      <x:c r="C515" s="17" t="str">
        <x:v>Event detail</x:v>
      </x:c>
      <x:c r="D515" s="20" t="str">
        <x:v>C06E01 Tessa: geometry.passes_through_creature_wall_or_restraint</x:v>
      </x:c>
      <x:c r="E515" s="59" t="b">
        <x:v>0</x:v>
      </x:c>
      <x:c r="F515" s="20" t="str">
        <x:v>Planned</x:v>
      </x:c>
    </x:row>
    <x:row r="516" ht="32" customHeight="1">
      <x:c r="A516" s="2" t="str">
        <x:v>F509</x:v>
      </x:c>
      <x:c r="B516" s="50" t="n">
        <x:v>6</x:v>
      </x:c>
      <x:c r="C516" s="2" t="str">
        <x:v>Event detail</x:v>
      </x:c>
      <x:c r="D516" s="19" t="str">
        <x:v>C06E01 Tessa: geometry.carries_another_adult</x:v>
      </x:c>
      <x:c r="E516" s="58" t="b">
        <x:v>0</x:v>
      </x:c>
      <x:c r="F516" s="19" t="str">
        <x:v>Planned</x:v>
      </x:c>
    </x:row>
    <x:row r="517" ht="32" customHeight="1">
      <x:c r="A517" s="17" t="str">
        <x:v>F510</x:v>
      </x:c>
      <x:c r="B517" s="51" t="n">
        <x:v>6</x:v>
      </x:c>
      <x:c r="C517" s="17" t="str">
        <x:v>Event detail</x:v>
      </x:c>
      <x:c r="D517" s="20" t="str">
        <x:v>C06E01 Tessa: geometry.crosses_otherwise_impossible_gap</x:v>
      </x:c>
      <x:c r="E517" s="59" t="b">
        <x:v>0</x:v>
      </x:c>
      <x:c r="F517" s="20" t="str">
        <x:v>Planned</x:v>
      </x:c>
    </x:row>
    <x:row r="518" ht="32" customHeight="1">
      <x:c r="A518" s="2" t="str">
        <x:v>F511</x:v>
      </x:c>
      <x:c r="B518" s="50" t="n">
        <x:v>6</x:v>
      </x:c>
      <x:c r="C518" s="2" t="str">
        <x:v>Event detail</x:v>
      </x:c>
      <x:c r="D518" s="19" t="str">
        <x:v>C06E01 Tessa: geometry.hazard_immunity_assumed</x:v>
      </x:c>
      <x:c r="E518" s="58" t="b">
        <x:v>0</x:v>
      </x:c>
      <x:c r="F518" s="19" t="str">
        <x:v>Planned</x:v>
      </x:c>
    </x:row>
    <x:row r="519" ht="28" customHeight="1">
      <x:c r="A519" s="17" t="str">
        <x:v>F512</x:v>
      </x:c>
      <x:c r="B519" s="51" t="n">
        <x:v>6</x:v>
      </x:c>
      <x:c r="C519" s="17" t="str">
        <x:v>Event detail</x:v>
      </x:c>
      <x:c r="D519" s="20" t="str">
        <x:v>C06E02 Dane: target</x:v>
      </x:c>
      <x:c r="E519" s="20" t="str">
        <x:v>guardian charge lane</x:v>
      </x:c>
      <x:c r="F519" s="20" t="str">
        <x:v>Planned</x:v>
      </x:c>
    </x:row>
    <x:row r="520" ht="32" customHeight="1">
      <x:c r="A520" s="2" t="str">
        <x:v>F513</x:v>
      </x:c>
      <x:c r="B520" s="50" t="n">
        <x:v>6</x:v>
      </x:c>
      <x:c r="C520" s="2" t="str">
        <x:v>Event detail</x:v>
      </x:c>
      <x:c r="D520" s="19" t="str">
        <x:v>C06E02 Dane: geometry.weapon_raised_in_right_hand</x:v>
      </x:c>
      <x:c r="E520" s="58" t="b">
        <x:v>1</x:v>
      </x:c>
      <x:c r="F520" s="19" t="str">
        <x:v>Planned</x:v>
      </x:c>
    </x:row>
    <x:row r="521" ht="28" customHeight="1">
      <x:c r="A521" s="17" t="str">
        <x:v>F514</x:v>
      </x:c>
      <x:c r="B521" s="51" t="n">
        <x:v>6</x:v>
      </x:c>
      <x:c r="C521" s="17" t="str">
        <x:v>Event detail</x:v>
      </x:c>
      <x:c r="D521" s="20" t="str">
        <x:v>C06E02 Dane: geometry.effect_seconds</x:v>
      </x:c>
      <x:c r="E521" s="61" t="n">
        <x:v>8</x:v>
      </x:c>
      <x:c r="F521" s="20" t="str">
        <x:v>Planned</x:v>
      </x:c>
    </x:row>
    <x:row r="522" ht="32" customHeight="1">
      <x:c r="A522" s="2" t="str">
        <x:v>F515</x:v>
      </x:c>
      <x:c r="B522" s="50" t="n">
        <x:v>6</x:v>
      </x:c>
      <x:c r="C522" s="2" t="str">
        <x:v>Event detail</x:v>
      </x:c>
      <x:c r="D522" s="19" t="str">
        <x:v>C06E02 Dane: geometry.physical_attack_crosses_front</x:v>
      </x:c>
      <x:c r="E522" s="58" t="b">
        <x:v>1</x:v>
      </x:c>
      <x:c r="F522" s="19" t="str">
        <x:v>Planned</x:v>
      </x:c>
    </x:row>
    <x:row r="523" ht="32" customHeight="1">
      <x:c r="A523" s="17" t="str">
        <x:v>F516</x:v>
      </x:c>
      <x:c r="B523" s="51" t="n">
        <x:v>6</x:v>
      </x:c>
      <x:c r="C523" s="17" t="str">
        <x:v>Event detail</x:v>
      </x:c>
      <x:c r="D523" s="20" t="str">
        <x:v>C06E02 Dane: geometry.runs_or_attacks_during_effect</x:v>
      </x:c>
      <x:c r="E523" s="59" t="b">
        <x:v>0</x:v>
      </x:c>
      <x:c r="F523" s="20" t="str">
        <x:v>Planned</x:v>
      </x:c>
    </x:row>
    <x:row r="524" ht="32" customHeight="1">
      <x:c r="A524" s="2" t="str">
        <x:v>F517</x:v>
      </x:c>
      <x:c r="B524" s="50" t="n">
        <x:v>6</x:v>
      </x:c>
      <x:c r="C524" s="2" t="str">
        <x:v>Event detail</x:v>
      </x:c>
      <x:c r="D524" s="19" t="str">
        <x:v>C06E02 Dane: geometry.blocks_heat_poison_or_suffocation</x:v>
      </x:c>
      <x:c r="E524" s="58" t="b">
        <x:v>0</x:v>
      </x:c>
      <x:c r="F524" s="19" t="str">
        <x:v>Planned</x:v>
      </x:c>
    </x:row>
    <x:row r="525" ht="32" customHeight="1">
      <x:c r="A525" s="17" t="str">
        <x:v>F518</x:v>
      </x:c>
      <x:c r="B525" s="51" t="n">
        <x:v>6</x:v>
      </x:c>
      <x:c r="C525" s="17" t="str">
        <x:v>Event detail</x:v>
      </x:c>
      <x:c r="D525" s="20" t="str">
        <x:v>C06E02 Dane: geometry.reduced_force_still_can_hurt</x:v>
      </x:c>
      <x:c r="E525" s="59" t="b">
        <x:v>1</x:v>
      </x:c>
      <x:c r="F525" s="20" t="str">
        <x:v>Planned</x:v>
      </x:c>
    </x:row>
    <x:row r="526" ht="28" customHeight="1">
      <x:c r="A526" s="2" t="str">
        <x:v>F519</x:v>
      </x:c>
      <x:c r="B526" s="50" t="n">
        <x:v>6</x:v>
      </x:c>
      <x:c r="C526" s="2" t="str">
        <x:v>Event detail</x:v>
      </x:c>
      <x:c r="D526" s="19" t="str">
        <x:v>C06E03 Kip: target</x:v>
      </x:c>
      <x:c r="E526" s="19" t="str">
        <x:v>cistern defense waterjet</x:v>
      </x:c>
      <x:c r="F526" s="19" t="str">
        <x:v>Planned</x:v>
      </x:c>
    </x:row>
    <x:row r="527" ht="28" customHeight="1">
      <x:c r="A527" s="17" t="str">
        <x:v>F520</x:v>
      </x:c>
      <x:c r="B527" s="51" t="n">
        <x:v>6</x:v>
      </x:c>
      <x:c r="C527" s="17" t="str">
        <x:v>Event detail</x:v>
      </x:c>
      <x:c r="D527" s="20" t="str">
        <x:v>C06E03 Kip: note</x:v>
      </x:c>
      <x:c r="E527" s="20" t="str">
        <x:v>Shield physically removed; within10m, normal aiming arc; physical jet redirects mineral-feeder.</x:v>
      </x:c>
      <x:c r="F527" s="20" t="str">
        <x:v>Planned</x:v>
      </x:c>
    </x:row>
    <x:row r="528" ht="28" customHeight="1">
      <x:c r="A528" s="2" t="str">
        <x:v>F521</x:v>
      </x:c>
      <x:c r="B528" s="50" t="n">
        <x:v>6</x:v>
      </x:c>
      <x:c r="C528" s="2" t="str">
        <x:v>Event detail</x:v>
      </x:c>
      <x:c r="D528" s="19" t="str">
        <x:v>C06E03 Kip: control_seconds</x:v>
      </x:c>
      <x:c r="E528" s="60" t="n">
        <x:v>5</x:v>
      </x:c>
      <x:c r="F528" s="19" t="str">
        <x:v>Planned</x:v>
      </x:c>
    </x:row>
    <x:row r="529" ht="28" customHeight="1">
      <x:c r="A529" s="17" t="str">
        <x:v>F522</x:v>
      </x:c>
      <x:c r="B529" s="51" t="n">
        <x:v>6</x:v>
      </x:c>
      <x:c r="C529" s="17" t="str">
        <x:v>Event detail</x:v>
      </x:c>
      <x:c r="D529" s="20" t="str">
        <x:v>C06E03 Kip: geometry.distance_m</x:v>
      </x:c>
      <x:c r="E529" s="61" t="n">
        <x:v>9</x:v>
      </x:c>
      <x:c r="F529" s="20" t="str">
        <x:v>Planned</x:v>
      </x:c>
    </x:row>
    <x:row r="530" ht="32" customHeight="1">
      <x:c r="A530" s="2" t="str">
        <x:v>F523</x:v>
      </x:c>
      <x:c r="B530" s="50" t="n">
        <x:v>6</x:v>
      </x:c>
      <x:c r="C530" s="2" t="str">
        <x:v>Event detail</x:v>
      </x:c>
      <x:c r="D530" s="19" t="str">
        <x:v>C06E03 Kip: geometry.prior_sight_distance_m</x:v>
      </x:c>
      <x:c r="E530" s="60" t="n">
        <x:v>9</x:v>
      </x:c>
      <x:c r="F530" s="19" t="str">
        <x:v>Planned</x:v>
      </x:c>
    </x:row>
    <x:row r="531" ht="32" customHeight="1">
      <x:c r="A531" s="17" t="str">
        <x:v>F524</x:v>
      </x:c>
      <x:c r="B531" s="51" t="n">
        <x:v>6</x:v>
      </x:c>
      <x:c r="C531" s="17" t="str">
        <x:v>Event detail</x:v>
      </x:c>
      <x:c r="D531" s="20" t="str">
        <x:v>C06E03 Kip: geometry.prior_sight_attention_seconds</x:v>
      </x:c>
      <x:c r="E531" s="61" t="n">
        <x:v>1</x:v>
      </x:c>
      <x:c r="F531" s="20" t="str">
        <x:v>Planned</x:v>
      </x:c>
    </x:row>
    <x:row r="532" ht="28" customHeight="1">
      <x:c r="A532" s="2" t="str">
        <x:v>F525</x:v>
      </x:c>
      <x:c r="B532" s="50" t="n">
        <x:v>6</x:v>
      </x:c>
      <x:c r="C532" s="2" t="str">
        <x:v>Event detail</x:v>
      </x:c>
      <x:c r="D532" s="19" t="str">
        <x:v>C06E03 Kip: geometry.visible_at_start</x:v>
      </x:c>
      <x:c r="E532" s="58" t="b">
        <x:v>1</x:v>
      </x:c>
      <x:c r="F532" s="19" t="str">
        <x:v>Planned</x:v>
      </x:c>
    </x:row>
    <x:row r="533" ht="32" customHeight="1">
      <x:c r="A533" s="17" t="str">
        <x:v>F526</x:v>
      </x:c>
      <x:c r="B533" s="51" t="n">
        <x:v>6</x:v>
      </x:c>
      <x:c r="C533" s="17" t="str">
        <x:v>Event detail</x:v>
      </x:c>
      <x:c r="D533" s="20" t="str">
        <x:v>C06E03 Kip: geometry.available_at_start</x:v>
      </x:c>
      <x:c r="E533" s="59" t="b">
        <x:v>1</x:v>
      </x:c>
      <x:c r="F533" s="20" t="str">
        <x:v>Planned</x:v>
      </x:c>
    </x:row>
    <x:row r="534" ht="32" customHeight="1">
      <x:c r="A534" s="2" t="str">
        <x:v>F527</x:v>
      </x:c>
      <x:c r="B534" s="50" t="n">
        <x:v>6</x:v>
      </x:c>
      <x:c r="C534" s="2" t="str">
        <x:v>Event detail</x:v>
      </x:c>
      <x:c r="D534" s="19" t="str">
        <x:v>C06E03 Kip: geometry.within_normal_mechanical_arc</x:v>
      </x:c>
      <x:c r="E534" s="58" t="b">
        <x:v>1</x:v>
      </x:c>
      <x:c r="F534" s="19" t="str">
        <x:v>Planned</x:v>
      </x:c>
    </x:row>
    <x:row r="535" ht="28" customHeight="1">
      <x:c r="A535" s="17" t="str">
        <x:v>F528</x:v>
      </x:c>
      <x:c r="B535" s="51" t="n">
        <x:v>6</x:v>
      </x:c>
      <x:c r="C535" s="17" t="str">
        <x:v>Event detail</x:v>
      </x:c>
      <x:c r="D535" s="20" t="str">
        <x:v>C06E03 Kip: geometry.ready_at_start</x:v>
      </x:c>
      <x:c r="E535" s="59" t="b">
        <x:v>1</x:v>
      </x:c>
      <x:c r="F535" s="20" t="str">
        <x:v>Planned</x:v>
      </x:c>
    </x:row>
    <x:row r="536" ht="32" customHeight="1">
      <x:c r="A536" s="2" t="str">
        <x:v>F529</x:v>
      </x:c>
      <x:c r="B536" s="50" t="n">
        <x:v>6</x:v>
      </x:c>
      <x:c r="C536" s="2" t="str">
        <x:v>Event detail</x:v>
      </x:c>
      <x:c r="D536" s="19" t="str">
        <x:v>C06E03 Kip: geometry.target_is_constructed_fixture</x:v>
      </x:c>
      <x:c r="E536" s="58" t="b">
        <x:v>1</x:v>
      </x:c>
      <x:c r="F536" s="19" t="str">
        <x:v>Planned</x:v>
      </x:c>
    </x:row>
    <x:row r="537" ht="32" customHeight="1">
      <x:c r="A537" s="17" t="str">
        <x:v>F530</x:v>
      </x:c>
      <x:c r="B537" s="51" t="n">
        <x:v>6</x:v>
      </x:c>
      <x:c r="C537" s="17" t="str">
        <x:v>Event detail</x:v>
      </x:c>
      <x:c r="D537" s="20" t="str">
        <x:v>C06E03 Kip: geometry.shield_removed_physically_if_any</x:v>
      </x:c>
      <x:c r="E537" s="59" t="b">
        <x:v>1</x:v>
      </x:c>
      <x:c r="F537" s="20" t="str">
        <x:v>Planned</x:v>
      </x:c>
    </x:row>
    <x:row r="538" ht="28" customHeight="1">
      <x:c r="A538" s="2" t="str">
        <x:v>F531</x:v>
      </x:c>
      <x:c r="B538" s="50" t="n">
        <x:v>6</x:v>
      </x:c>
      <x:c r="C538" s="2" t="str">
        <x:v>Event detail</x:v>
      </x:c>
      <x:c r="D538" s="19" t="str">
        <x:v>C06E03 Kip: outcome</x:v>
      </x:c>
      <x:c r="E538" s="19" t="str">
        <x:v>ordinary legal fixture function, no strengthened output</x:v>
      </x:c>
      <x:c r="F538" s="19" t="str">
        <x:v>Planned</x:v>
      </x:c>
    </x:row>
    <x:row r="539" ht="28" customHeight="1">
      <x:c r="A539" s="17" t="str">
        <x:v>F532</x:v>
      </x:c>
      <x:c r="B539" s="51" t="n">
        <x:v>6</x:v>
      </x:c>
      <x:c r="C539" s="17" t="str">
        <x:v>Event detail</x:v>
      </x:c>
      <x:c r="D539" s="20" t="str">
        <x:v>C06E05 Kip: target</x:v>
      </x:c>
      <x:c r="E539" s="20" t="str">
        <x:v>B: cistern anchor</x:v>
      </x:c>
      <x:c r="F539" s="20" t="str">
        <x:v>Planned</x:v>
      </x:c>
    </x:row>
    <x:row r="540" ht="28" customHeight="1">
      <x:c r="A540" s="2" t="str">
        <x:v>F533</x:v>
      </x:c>
      <x:c r="B540" s="50" t="n">
        <x:v>6</x:v>
      </x:c>
      <x:c r="C540" s="2" t="str">
        <x:v>Event detail</x:v>
      </x:c>
      <x:c r="D540" s="19" t="str">
        <x:v>C06E05 Kip: note</x:v>
      </x:c>
      <x:c r="E540" s="19" t="str">
        <x:v>Guardian defeated; seal gone; all hostiles out; 18m enclosed chamber; success releases A.</x:v>
      </x:c>
      <x:c r="F540" s="19" t="str">
        <x:v>Planned</x:v>
      </x:c>
    </x:row>
    <x:row r="541" ht="32" customHeight="1">
      <x:c r="A541" s="17" t="str">
        <x:v>F534</x:v>
      </x:c>
      <x:c r="B541" s="51" t="n">
        <x:v>6</x:v>
      </x:c>
      <x:c r="C541" s="17" t="str">
        <x:v>Event detail</x:v>
      </x:c>
      <x:c r="D541" s="20" t="str">
        <x:v>C06E05 Kip: geometry.enclosed_room_max_width_m</x:v>
      </x:c>
      <x:c r="E541" s="61" t="n">
        <x:v>18</x:v>
      </x:c>
      <x:c r="F541" s="20" t="str">
        <x:v>Planned</x:v>
      </x:c>
    </x:row>
    <x:row r="542" ht="28" customHeight="1">
      <x:c r="A542" s="2" t="str">
        <x:v>F535</x:v>
      </x:c>
      <x:c r="B542" s="50" t="n">
        <x:v>6</x:v>
      </x:c>
      <x:c r="C542" s="2" t="str">
        <x:v>Event detail</x:v>
      </x:c>
      <x:c r="D542" s="19" t="str">
        <x:v>C06E05 Kip: geometry.intact_anchor</x:v>
      </x:c>
      <x:c r="E542" s="58" t="b">
        <x:v>1</x:v>
      </x:c>
      <x:c r="F542" s="19" t="str">
        <x:v>Planned</x:v>
      </x:c>
    </x:row>
    <x:row r="543" ht="32" customHeight="1">
      <x:c r="A543" s="17" t="str">
        <x:v>F536</x:v>
      </x:c>
      <x:c r="B543" s="51" t="n">
        <x:v>6</x:v>
      </x:c>
      <x:c r="C543" s="17" t="str">
        <x:v>Event detail</x:v>
      </x:c>
      <x:c r="D543" s="20" t="str">
        <x:v>C06E05 Kip: geometry.guardian_defeated_or_none_assigned</x:v>
      </x:c>
      <x:c r="E543" s="59" t="b">
        <x:v>1</x:v>
      </x:c>
      <x:c r="F543" s="20" t="str">
        <x:v>Planned</x:v>
      </x:c>
    </x:row>
    <x:row r="544" ht="32" customHeight="1">
      <x:c r="A544" s="2" t="str">
        <x:v>F537</x:v>
      </x:c>
      <x:c r="B544" s="50" t="n">
        <x:v>6</x:v>
      </x:c>
      <x:c r="C544" s="2" t="str">
        <x:v>Event detail</x:v>
      </x:c>
      <x:c r="D544" s="19" t="str">
        <x:v>C06E05 Kip: geometry.protective_seal_removed_or_absent</x:v>
      </x:c>
      <x:c r="E544" s="58" t="b">
        <x:v>1</x:v>
      </x:c>
      <x:c r="F544" s="19" t="str">
        <x:v>Planned</x:v>
      </x:c>
    </x:row>
    <x:row r="545" ht="32" customHeight="1">
      <x:c r="A545" s="17" t="str">
        <x:v>F538</x:v>
      </x:c>
      <x:c r="B545" s="51" t="n">
        <x:v>6</x:v>
      </x:c>
      <x:c r="C545" s="17" t="str">
        <x:v>Event detail</x:v>
      </x:c>
      <x:c r="D545" s="20" t="str">
        <x:v>C06E05 Kip: geometry.living_hostiles_inside_at_start</x:v>
      </x:c>
      <x:c r="E545" s="61" t="n">
        <x:v>0</x:v>
      </x:c>
      <x:c r="F545" s="20" t="str">
        <x:v>Planned</x:v>
      </x:c>
    </x:row>
    <x:row r="546" ht="28" customHeight="1">
      <x:c r="A546" s="2" t="str">
        <x:v>F539</x:v>
      </x:c>
      <x:c r="B546" s="50" t="n">
        <x:v>6</x:v>
      </x:c>
      <x:c r="C546" s="2" t="str">
        <x:v>Event detail</x:v>
      </x:c>
      <x:c r="D546" s="19" t="str">
        <x:v>C06E05 Kip: geometry.boss_chamber</x:v>
      </x:c>
      <x:c r="E546" s="58" t="b">
        <x:v>0</x:v>
      </x:c>
      <x:c r="F546" s="19" t="str">
        <x:v>Planned</x:v>
      </x:c>
    </x:row>
    <x:row r="547" ht="28" customHeight="1">
      <x:c r="A547" s="17" t="str">
        <x:v>F540</x:v>
      </x:c>
      <x:c r="B547" s="51" t="n">
        <x:v>6</x:v>
      </x:c>
      <x:c r="C547" s="17" t="str">
        <x:v>Event detail</x:v>
      </x:c>
      <x:c r="D547" s="20" t="str">
        <x:v>C06E05 Kip: channel_seconds</x:v>
      </x:c>
      <x:c r="E547" s="61" t="n">
        <x:v>30</x:v>
      </x:c>
      <x:c r="F547" s="20" t="str">
        <x:v>Planned</x:v>
      </x:c>
    </x:row>
    <x:row r="548" ht="28" customHeight="1">
      <x:c r="A548" s="2" t="str">
        <x:v>F541</x:v>
      </x:c>
      <x:c r="B548" s="50" t="n">
        <x:v>6</x:v>
      </x:c>
      <x:c r="C548" s="2" t="str">
        <x:v>Event detail</x:v>
      </x:c>
      <x:c r="D548" s="19" t="str">
        <x:v>C06E05 Kip: outcome</x:v>
      </x:c>
      <x:c r="E548" s="19" t="str">
        <x:v>success after uninterrupted30seconds</x:v>
      </x:c>
      <x:c r="F548" s="19" t="str">
        <x:v>Planned</x:v>
      </x:c>
    </x:row>
    <x:row r="549" ht="28" customHeight="1">
      <x:c r="A549" s="17" t="str">
        <x:v>F542</x:v>
      </x:c>
      <x:c r="B549" s="51" t="n">
        <x:v>6</x:v>
      </x:c>
      <x:c r="C549" s="17" t="str">
        <x:v>Event detail</x:v>
      </x:c>
      <x:c r="D549" s="20" t="str">
        <x:v>C06E06 Kip: note</x:v>
      </x:c>
      <x:c r="E549" s="20" t="str">
        <x:v>Protected, seated, no casting/movement/attack; another awake person keeps watch.</x:v>
      </x:c>
      <x:c r="F549" s="20" t="str">
        <x:v>Planned</x:v>
      </x:c>
    </x:row>
    <x:row r="550" ht="28" customHeight="1">
      <x:c r="A550" s="2" t="str">
        <x:v>F543</x:v>
      </x:c>
      <x:c r="B550" s="50" t="n">
        <x:v>6</x:v>
      </x:c>
      <x:c r="C550" s="2" t="str">
        <x:v>Event detail</x:v>
      </x:c>
      <x:c r="D550" s="19" t="str">
        <x:v>C06E06 Kip: ends</x:v>
      </x:c>
      <x:c r="E550" s="19" t="str">
        <x:v>Day 1 15:07:00</x:v>
      </x:c>
      <x:c r="F550" s="19" t="str">
        <x:v>Planned</x:v>
      </x:c>
    </x:row>
    <x:row r="551" ht="28" customHeight="1">
      <x:c r="A551" s="17" t="str">
        <x:v>F544</x:v>
      </x:c>
      <x:c r="B551" s="51" t="n">
        <x:v>6</x:v>
      </x:c>
      <x:c r="C551" s="17" t="str">
        <x:v>Event detail</x:v>
      </x:c>
      <x:c r="D551" s="20" t="str">
        <x:v>C06E07 Tessa: note</x:v>
      </x:c>
      <x:c r="E551" s="20" t="str">
        <x:v>Protected, seated, no casting/movement/attack; another awake person keeps watch.</x:v>
      </x:c>
      <x:c r="F551" s="20" t="str">
        <x:v>Planned</x:v>
      </x:c>
    </x:row>
    <x:row r="552" ht="28" customHeight="1">
      <x:c r="A552" s="2" t="str">
        <x:v>F545</x:v>
      </x:c>
      <x:c r="B552" s="50" t="n">
        <x:v>6</x:v>
      </x:c>
      <x:c r="C552" s="2" t="str">
        <x:v>Event detail</x:v>
      </x:c>
      <x:c r="D552" s="19" t="str">
        <x:v>C06E07 Tessa: ends</x:v>
      </x:c>
      <x:c r="E552" s="19" t="str">
        <x:v>Day 1 15:03:00</x:v>
      </x:c>
      <x:c r="F552" s="19" t="str">
        <x:v>Planned</x:v>
      </x:c>
    </x:row>
    <x:row r="553" ht="28" customHeight="1">
      <x:c r="A553" s="17" t="str">
        <x:v>F546</x:v>
      </x:c>
      <x:c r="B553" s="51" t="n">
        <x:v>6</x:v>
      </x:c>
      <x:c r="C553" s="17" t="str">
        <x:v>Event detail</x:v>
      </x:c>
      <x:c r="D553" s="20" t="str">
        <x:v>C06E08 Owen: note</x:v>
      </x:c>
      <x:c r="E553" s="20" t="str">
        <x:v>Protected, seated, no casting/movement/attack; another awake person keeps watch.</x:v>
      </x:c>
      <x:c r="F553" s="20" t="str">
        <x:v>Planned</x:v>
      </x:c>
    </x:row>
    <x:row r="554" ht="28" customHeight="1">
      <x:c r="A554" s="2" t="str">
        <x:v>F547</x:v>
      </x:c>
      <x:c r="B554" s="50" t="n">
        <x:v>6</x:v>
      </x:c>
      <x:c r="C554" s="2" t="str">
        <x:v>Event detail</x:v>
      </x:c>
      <x:c r="D554" s="19" t="str">
        <x:v>C06E08 Owen: ends</x:v>
      </x:c>
      <x:c r="E554" s="19" t="str">
        <x:v>Day 1 15:01:00</x:v>
      </x:c>
      <x:c r="F554" s="19" t="str">
        <x:v>Planned</x:v>
      </x:c>
    </x:row>
    <x:row r="555" ht="28" customHeight="1">
      <x:c r="A555" s="17" t="str">
        <x:v>F548</x:v>
      </x:c>
      <x:c r="B555" s="51" t="n">
        <x:v>6</x:v>
      </x:c>
      <x:c r="C555" s="17" t="str">
        <x:v>Event detail</x:v>
      </x:c>
      <x:c r="D555" s="20" t="str">
        <x:v>C06E09 Dane: note</x:v>
      </x:c>
      <x:c r="E555" s="20" t="str">
        <x:v>Protected, seated, no casting/movement/attack; another awake person keeps watch.</x:v>
      </x:c>
      <x:c r="F555" s="20" t="str">
        <x:v>Planned</x:v>
      </x:c>
    </x:row>
    <x:row r="556" ht="28" customHeight="1">
      <x:c r="A556" s="2" t="str">
        <x:v>F549</x:v>
      </x:c>
      <x:c r="B556" s="50" t="n">
        <x:v>6</x:v>
      </x:c>
      <x:c r="C556" s="2" t="str">
        <x:v>Event detail</x:v>
      </x:c>
      <x:c r="D556" s="19" t="str">
        <x:v>C06E09 Dane: ends</x:v>
      </x:c>
      <x:c r="E556" s="19" t="str">
        <x:v>Day 1 15:05:00</x:v>
      </x:c>
      <x:c r="F556" s="19" t="str">
        <x:v>Planned</x:v>
      </x:c>
    </x:row>
    <x:row r="557" ht="28" customHeight="1">
      <x:c r="A557" s="17" t="str">
        <x:v>F550</x:v>
      </x:c>
      <x:c r="B557" s="51" t="n">
        <x:v>7</x:v>
      </x:c>
      <x:c r="C557" s="17" t="str">
        <x:v>Event detail</x:v>
      </x:c>
      <x:c r="D557" s="20" t="str">
        <x:v>C07E01 Kip: target</x:v>
      </x:c>
      <x:c r="E557" s="20" t="str">
        <x:v>cistern training waterjet</x:v>
      </x:c>
      <x:c r="F557" s="20" t="str">
        <x:v>Planned</x:v>
      </x:c>
    </x:row>
    <x:row r="558" ht="32" customHeight="1">
      <x:c r="A558" s="2" t="str">
        <x:v>F551</x:v>
      </x:c>
      <x:c r="B558" s="50" t="n">
        <x:v>7</x:v>
      </x:c>
      <x:c r="C558" s="2" t="str">
        <x:v>Event detail</x:v>
      </x:c>
      <x:c r="D558" s="19" t="str">
        <x:v>C07E01 Kip: note</x:v>
      </x:c>
      <x:c r="E558" s="19" t="str">
        <x:v>Ordinary fixed-output aiming control into a physically safe empty catch within its normal arc; no invented low-power setting and no XP.</x:v>
      </x:c>
      <x:c r="F558" s="19" t="str">
        <x:v>Planned</x:v>
      </x:c>
    </x:row>
    <x:row r="559" ht="28" customHeight="1">
      <x:c r="A559" s="17" t="str">
        <x:v>F552</x:v>
      </x:c>
      <x:c r="B559" s="51" t="n">
        <x:v>7</x:v>
      </x:c>
      <x:c r="C559" s="17" t="str">
        <x:v>Event detail</x:v>
      </x:c>
      <x:c r="D559" s="20" t="str">
        <x:v>C07E01 Kip: control_seconds</x:v>
      </x:c>
      <x:c r="E559" s="61" t="n">
        <x:v>5</x:v>
      </x:c>
      <x:c r="F559" s="20" t="str">
        <x:v>Planned</x:v>
      </x:c>
    </x:row>
    <x:row r="560" ht="28" customHeight="1">
      <x:c r="A560" s="2" t="str">
        <x:v>F553</x:v>
      </x:c>
      <x:c r="B560" s="50" t="n">
        <x:v>7</x:v>
      </x:c>
      <x:c r="C560" s="2" t="str">
        <x:v>Event detail</x:v>
      </x:c>
      <x:c r="D560" s="19" t="str">
        <x:v>C07E01 Kip: geometry.distance_m</x:v>
      </x:c>
      <x:c r="E560" s="60" t="n">
        <x:v>6</x:v>
      </x:c>
      <x:c r="F560" s="19" t="str">
        <x:v>Planned</x:v>
      </x:c>
    </x:row>
    <x:row r="561" ht="32" customHeight="1">
      <x:c r="A561" s="17" t="str">
        <x:v>F554</x:v>
      </x:c>
      <x:c r="B561" s="51" t="n">
        <x:v>7</x:v>
      </x:c>
      <x:c r="C561" s="17" t="str">
        <x:v>Event detail</x:v>
      </x:c>
      <x:c r="D561" s="20" t="str">
        <x:v>C07E01 Kip: geometry.prior_sight_distance_m</x:v>
      </x:c>
      <x:c r="E561" s="61" t="n">
        <x:v>6</x:v>
      </x:c>
      <x:c r="F561" s="20" t="str">
        <x:v>Planned</x:v>
      </x:c>
    </x:row>
    <x:row r="562" ht="32" customHeight="1">
      <x:c r="A562" s="2" t="str">
        <x:v>F555</x:v>
      </x:c>
      <x:c r="B562" s="50" t="n">
        <x:v>7</x:v>
      </x:c>
      <x:c r="C562" s="2" t="str">
        <x:v>Event detail</x:v>
      </x:c>
      <x:c r="D562" s="19" t="str">
        <x:v>C07E01 Kip: geometry.prior_sight_attention_seconds</x:v>
      </x:c>
      <x:c r="E562" s="60" t="n">
        <x:v>1</x:v>
      </x:c>
      <x:c r="F562" s="19" t="str">
        <x:v>Planned</x:v>
      </x:c>
    </x:row>
    <x:row r="563" ht="28" customHeight="1">
      <x:c r="A563" s="17" t="str">
        <x:v>F556</x:v>
      </x:c>
      <x:c r="B563" s="51" t="n">
        <x:v>7</x:v>
      </x:c>
      <x:c r="C563" s="17" t="str">
        <x:v>Event detail</x:v>
      </x:c>
      <x:c r="D563" s="20" t="str">
        <x:v>C07E01 Kip: geometry.visible_at_start</x:v>
      </x:c>
      <x:c r="E563" s="59" t="b">
        <x:v>1</x:v>
      </x:c>
      <x:c r="F563" s="20" t="str">
        <x:v>Planned</x:v>
      </x:c>
    </x:row>
    <x:row r="564" ht="32" customHeight="1">
      <x:c r="A564" s="2" t="str">
        <x:v>F557</x:v>
      </x:c>
      <x:c r="B564" s="50" t="n">
        <x:v>7</x:v>
      </x:c>
      <x:c r="C564" s="2" t="str">
        <x:v>Event detail</x:v>
      </x:c>
      <x:c r="D564" s="19" t="str">
        <x:v>C07E01 Kip: geometry.available_at_start</x:v>
      </x:c>
      <x:c r="E564" s="58" t="b">
        <x:v>1</x:v>
      </x:c>
      <x:c r="F564" s="19" t="str">
        <x:v>Planned</x:v>
      </x:c>
    </x:row>
    <x:row r="565" ht="32" customHeight="1">
      <x:c r="A565" s="17" t="str">
        <x:v>F558</x:v>
      </x:c>
      <x:c r="B565" s="51" t="n">
        <x:v>7</x:v>
      </x:c>
      <x:c r="C565" s="17" t="str">
        <x:v>Event detail</x:v>
      </x:c>
      <x:c r="D565" s="20" t="str">
        <x:v>C07E01 Kip: geometry.within_normal_mechanical_arc</x:v>
      </x:c>
      <x:c r="E565" s="59" t="b">
        <x:v>1</x:v>
      </x:c>
      <x:c r="F565" s="20" t="str">
        <x:v>Planned</x:v>
      </x:c>
    </x:row>
    <x:row r="566" ht="28" customHeight="1">
      <x:c r="A566" s="2" t="str">
        <x:v>F559</x:v>
      </x:c>
      <x:c r="B566" s="50" t="n">
        <x:v>7</x:v>
      </x:c>
      <x:c r="C566" s="2" t="str">
        <x:v>Event detail</x:v>
      </x:c>
      <x:c r="D566" s="19" t="str">
        <x:v>C07E01 Kip: geometry.ready_at_start</x:v>
      </x:c>
      <x:c r="E566" s="58" t="b">
        <x:v>1</x:v>
      </x:c>
      <x:c r="F566" s="19" t="str">
        <x:v>Planned</x:v>
      </x:c>
    </x:row>
    <x:row r="567" ht="32" customHeight="1">
      <x:c r="A567" s="17" t="str">
        <x:v>F560</x:v>
      </x:c>
      <x:c r="B567" s="51" t="n">
        <x:v>7</x:v>
      </x:c>
      <x:c r="C567" s="17" t="str">
        <x:v>Event detail</x:v>
      </x:c>
      <x:c r="D567" s="20" t="str">
        <x:v>C07E01 Kip: geometry.target_is_constructed_fixture</x:v>
      </x:c>
      <x:c r="E567" s="59" t="b">
        <x:v>1</x:v>
      </x:c>
      <x:c r="F567" s="20" t="str">
        <x:v>Planned</x:v>
      </x:c>
    </x:row>
    <x:row r="568" ht="32" customHeight="1">
      <x:c r="A568" s="2" t="str">
        <x:v>F561</x:v>
      </x:c>
      <x:c r="B568" s="50" t="n">
        <x:v>7</x:v>
      </x:c>
      <x:c r="C568" s="2" t="str">
        <x:v>Event detail</x:v>
      </x:c>
      <x:c r="D568" s="19" t="str">
        <x:v>C07E01 Kip: geometry.shield_removed_physically_if_any</x:v>
      </x:c>
      <x:c r="E568" s="58" t="b">
        <x:v>1</x:v>
      </x:c>
      <x:c r="F568" s="19" t="str">
        <x:v>Planned</x:v>
      </x:c>
    </x:row>
    <x:row r="569" ht="28" customHeight="1">
      <x:c r="A569" s="17" t="str">
        <x:v>F562</x:v>
      </x:c>
      <x:c r="B569" s="51" t="n">
        <x:v>7</x:v>
      </x:c>
      <x:c r="C569" s="17" t="str">
        <x:v>Event detail</x:v>
      </x:c>
      <x:c r="D569" s="20" t="str">
        <x:v>C07E01 Kip: outcome</x:v>
      </x:c>
      <x:c r="E569" s="20" t="str">
        <x:v>ordinary legal fixture function, no strengthened output</x:v>
      </x:c>
      <x:c r="F569" s="20" t="str">
        <x:v>Planned</x:v>
      </x:c>
    </x:row>
    <x:row r="570" ht="28" customHeight="1">
      <x:c r="A570" s="2" t="str">
        <x:v>F563</x:v>
      </x:c>
      <x:c r="B570" s="50" t="n">
        <x:v>7</x:v>
      </x:c>
      <x:c r="C570" s="2" t="str">
        <x:v>Event detail</x:v>
      </x:c>
      <x:c r="D570" s="19" t="str">
        <x:v>C07E02 Kip: target</x:v>
      </x:c>
      <x:c r="E570" s="19" t="str">
        <x:v>cistern training waterjet</x:v>
      </x:c>
      <x:c r="F570" s="19" t="str">
        <x:v>Planned</x:v>
      </x:c>
    </x:row>
    <x:row r="571" ht="32" customHeight="1">
      <x:c r="A571" s="17" t="str">
        <x:v>F564</x:v>
      </x:c>
      <x:c r="B571" s="51" t="n">
        <x:v>7</x:v>
      </x:c>
      <x:c r="C571" s="17" t="str">
        <x:v>Event detail</x:v>
      </x:c>
      <x:c r="D571" s="20" t="str">
        <x:v>C07E02 Kip: note</x:v>
      </x:c>
      <x:c r="E571" s="20" t="str">
        <x:v>Ordinary fixed-output aiming control into a physically safe empty catch within its normal arc; no invented low-power setting and no XP.</x:v>
      </x:c>
      <x:c r="F571" s="20" t="str">
        <x:v>Planned</x:v>
      </x:c>
    </x:row>
    <x:row r="572" ht="28" customHeight="1">
      <x:c r="A572" s="2" t="str">
        <x:v>F565</x:v>
      </x:c>
      <x:c r="B572" s="50" t="n">
        <x:v>7</x:v>
      </x:c>
      <x:c r="C572" s="2" t="str">
        <x:v>Event detail</x:v>
      </x:c>
      <x:c r="D572" s="19" t="str">
        <x:v>C07E02 Kip: control_seconds</x:v>
      </x:c>
      <x:c r="E572" s="60" t="n">
        <x:v>5</x:v>
      </x:c>
      <x:c r="F572" s="19" t="str">
        <x:v>Planned</x:v>
      </x:c>
    </x:row>
    <x:row r="573" ht="28" customHeight="1">
      <x:c r="A573" s="17" t="str">
        <x:v>F566</x:v>
      </x:c>
      <x:c r="B573" s="51" t="n">
        <x:v>7</x:v>
      </x:c>
      <x:c r="C573" s="17" t="str">
        <x:v>Event detail</x:v>
      </x:c>
      <x:c r="D573" s="20" t="str">
        <x:v>C07E02 Kip: geometry.distance_m</x:v>
      </x:c>
      <x:c r="E573" s="61" t="n">
        <x:v>6</x:v>
      </x:c>
      <x:c r="F573" s="20" t="str">
        <x:v>Planned</x:v>
      </x:c>
    </x:row>
    <x:row r="574" ht="32" customHeight="1">
      <x:c r="A574" s="2" t="str">
        <x:v>F567</x:v>
      </x:c>
      <x:c r="B574" s="50" t="n">
        <x:v>7</x:v>
      </x:c>
      <x:c r="C574" s="2" t="str">
        <x:v>Event detail</x:v>
      </x:c>
      <x:c r="D574" s="19" t="str">
        <x:v>C07E02 Kip: geometry.prior_sight_distance_m</x:v>
      </x:c>
      <x:c r="E574" s="60" t="n">
        <x:v>6</x:v>
      </x:c>
      <x:c r="F574" s="19" t="str">
        <x:v>Planned</x:v>
      </x:c>
    </x:row>
    <x:row r="575" ht="32" customHeight="1">
      <x:c r="A575" s="17" t="str">
        <x:v>F568</x:v>
      </x:c>
      <x:c r="B575" s="51" t="n">
        <x:v>7</x:v>
      </x:c>
      <x:c r="C575" s="17" t="str">
        <x:v>Event detail</x:v>
      </x:c>
      <x:c r="D575" s="20" t="str">
        <x:v>C07E02 Kip: geometry.prior_sight_attention_seconds</x:v>
      </x:c>
      <x:c r="E575" s="61" t="n">
        <x:v>1</x:v>
      </x:c>
      <x:c r="F575" s="20" t="str">
        <x:v>Planned</x:v>
      </x:c>
    </x:row>
    <x:row r="576" ht="28" customHeight="1">
      <x:c r="A576" s="2" t="str">
        <x:v>F569</x:v>
      </x:c>
      <x:c r="B576" s="50" t="n">
        <x:v>7</x:v>
      </x:c>
      <x:c r="C576" s="2" t="str">
        <x:v>Event detail</x:v>
      </x:c>
      <x:c r="D576" s="19" t="str">
        <x:v>C07E02 Kip: geometry.visible_at_start</x:v>
      </x:c>
      <x:c r="E576" s="58" t="b">
        <x:v>1</x:v>
      </x:c>
      <x:c r="F576" s="19" t="str">
        <x:v>Planned</x:v>
      </x:c>
    </x:row>
    <x:row r="577" ht="32" customHeight="1">
      <x:c r="A577" s="17" t="str">
        <x:v>F570</x:v>
      </x:c>
      <x:c r="B577" s="51" t="n">
        <x:v>7</x:v>
      </x:c>
      <x:c r="C577" s="17" t="str">
        <x:v>Event detail</x:v>
      </x:c>
      <x:c r="D577" s="20" t="str">
        <x:v>C07E02 Kip: geometry.available_at_start</x:v>
      </x:c>
      <x:c r="E577" s="59" t="b">
        <x:v>1</x:v>
      </x:c>
      <x:c r="F577" s="20" t="str">
        <x:v>Planned</x:v>
      </x:c>
    </x:row>
    <x:row r="578" ht="32" customHeight="1">
      <x:c r="A578" s="2" t="str">
        <x:v>F571</x:v>
      </x:c>
      <x:c r="B578" s="50" t="n">
        <x:v>7</x:v>
      </x:c>
      <x:c r="C578" s="2" t="str">
        <x:v>Event detail</x:v>
      </x:c>
      <x:c r="D578" s="19" t="str">
        <x:v>C07E02 Kip: geometry.within_normal_mechanical_arc</x:v>
      </x:c>
      <x:c r="E578" s="58" t="b">
        <x:v>1</x:v>
      </x:c>
      <x:c r="F578" s="19" t="str">
        <x:v>Planned</x:v>
      </x:c>
    </x:row>
    <x:row r="579" ht="28" customHeight="1">
      <x:c r="A579" s="17" t="str">
        <x:v>F572</x:v>
      </x:c>
      <x:c r="B579" s="51" t="n">
        <x:v>7</x:v>
      </x:c>
      <x:c r="C579" s="17" t="str">
        <x:v>Event detail</x:v>
      </x:c>
      <x:c r="D579" s="20" t="str">
        <x:v>C07E02 Kip: geometry.ready_at_start</x:v>
      </x:c>
      <x:c r="E579" s="59" t="b">
        <x:v>1</x:v>
      </x:c>
      <x:c r="F579" s="20" t="str">
        <x:v>Planned</x:v>
      </x:c>
    </x:row>
    <x:row r="580" ht="32" customHeight="1">
      <x:c r="A580" s="2" t="str">
        <x:v>F573</x:v>
      </x:c>
      <x:c r="B580" s="50" t="n">
        <x:v>7</x:v>
      </x:c>
      <x:c r="C580" s="2" t="str">
        <x:v>Event detail</x:v>
      </x:c>
      <x:c r="D580" s="19" t="str">
        <x:v>C07E02 Kip: geometry.target_is_constructed_fixture</x:v>
      </x:c>
      <x:c r="E580" s="58" t="b">
        <x:v>1</x:v>
      </x:c>
      <x:c r="F580" s="19" t="str">
        <x:v>Planned</x:v>
      </x:c>
    </x:row>
    <x:row r="581" ht="32" customHeight="1">
      <x:c r="A581" s="17" t="str">
        <x:v>F574</x:v>
      </x:c>
      <x:c r="B581" s="51" t="n">
        <x:v>7</x:v>
      </x:c>
      <x:c r="C581" s="17" t="str">
        <x:v>Event detail</x:v>
      </x:c>
      <x:c r="D581" s="20" t="str">
        <x:v>C07E02 Kip: geometry.shield_removed_physically_if_any</x:v>
      </x:c>
      <x:c r="E581" s="59" t="b">
        <x:v>1</x:v>
      </x:c>
      <x:c r="F581" s="20" t="str">
        <x:v>Planned</x:v>
      </x:c>
    </x:row>
    <x:row r="582" ht="28" customHeight="1">
      <x:c r="A582" s="2" t="str">
        <x:v>F575</x:v>
      </x:c>
      <x:c r="B582" s="50" t="n">
        <x:v>7</x:v>
      </x:c>
      <x:c r="C582" s="2" t="str">
        <x:v>Event detail</x:v>
      </x:c>
      <x:c r="D582" s="19" t="str">
        <x:v>C07E02 Kip: outcome</x:v>
      </x:c>
      <x:c r="E582" s="19" t="str">
        <x:v>ordinary legal fixture function, no strengthened output</x:v>
      </x:c>
      <x:c r="F582" s="19" t="str">
        <x:v>Planned</x:v>
      </x:c>
    </x:row>
    <x:row r="583" ht="28" customHeight="1">
      <x:c r="A583" s="17" t="str">
        <x:v>F576</x:v>
      </x:c>
      <x:c r="B583" s="51" t="n">
        <x:v>7</x:v>
      </x:c>
      <x:c r="C583" s="17" t="str">
        <x:v>Event detail</x:v>
      </x:c>
      <x:c r="D583" s="20" t="str">
        <x:v>C07E03 Kip: target</x:v>
      </x:c>
      <x:c r="E583" s="20" t="str">
        <x:v>cistern training waterjet</x:v>
      </x:c>
      <x:c r="F583" s="20" t="str">
        <x:v>Planned</x:v>
      </x:c>
    </x:row>
    <x:row r="584" ht="32" customHeight="1">
      <x:c r="A584" s="2" t="str">
        <x:v>F577</x:v>
      </x:c>
      <x:c r="B584" s="50" t="n">
        <x:v>7</x:v>
      </x:c>
      <x:c r="C584" s="2" t="str">
        <x:v>Event detail</x:v>
      </x:c>
      <x:c r="D584" s="19" t="str">
        <x:v>C07E03 Kip: note</x:v>
      </x:c>
      <x:c r="E584" s="19" t="str">
        <x:v>Ordinary fixed-output aiming control into a physically safe empty catch within its normal arc; no invented low-power setting and no XP.</x:v>
      </x:c>
      <x:c r="F584" s="19" t="str">
        <x:v>Planned</x:v>
      </x:c>
    </x:row>
    <x:row r="585" ht="28" customHeight="1">
      <x:c r="A585" s="17" t="str">
        <x:v>F578</x:v>
      </x:c>
      <x:c r="B585" s="51" t="n">
        <x:v>7</x:v>
      </x:c>
      <x:c r="C585" s="17" t="str">
        <x:v>Event detail</x:v>
      </x:c>
      <x:c r="D585" s="20" t="str">
        <x:v>C07E03 Kip: control_seconds</x:v>
      </x:c>
      <x:c r="E585" s="61" t="n">
        <x:v>5</x:v>
      </x:c>
      <x:c r="F585" s="20" t="str">
        <x:v>Planned</x:v>
      </x:c>
    </x:row>
    <x:row r="586" ht="28" customHeight="1">
      <x:c r="A586" s="2" t="str">
        <x:v>F579</x:v>
      </x:c>
      <x:c r="B586" s="50" t="n">
        <x:v>7</x:v>
      </x:c>
      <x:c r="C586" s="2" t="str">
        <x:v>Event detail</x:v>
      </x:c>
      <x:c r="D586" s="19" t="str">
        <x:v>C07E03 Kip: geometry.distance_m</x:v>
      </x:c>
      <x:c r="E586" s="60" t="n">
        <x:v>6</x:v>
      </x:c>
      <x:c r="F586" s="19" t="str">
        <x:v>Planned</x:v>
      </x:c>
    </x:row>
    <x:row r="587" ht="32" customHeight="1">
      <x:c r="A587" s="17" t="str">
        <x:v>F580</x:v>
      </x:c>
      <x:c r="B587" s="51" t="n">
        <x:v>7</x:v>
      </x:c>
      <x:c r="C587" s="17" t="str">
        <x:v>Event detail</x:v>
      </x:c>
      <x:c r="D587" s="20" t="str">
        <x:v>C07E03 Kip: geometry.prior_sight_distance_m</x:v>
      </x:c>
      <x:c r="E587" s="61" t="n">
        <x:v>6</x:v>
      </x:c>
      <x:c r="F587" s="20" t="str">
        <x:v>Planned</x:v>
      </x:c>
    </x:row>
    <x:row r="588" ht="32" customHeight="1">
      <x:c r="A588" s="2" t="str">
        <x:v>F581</x:v>
      </x:c>
      <x:c r="B588" s="50" t="n">
        <x:v>7</x:v>
      </x:c>
      <x:c r="C588" s="2" t="str">
        <x:v>Event detail</x:v>
      </x:c>
      <x:c r="D588" s="19" t="str">
        <x:v>C07E03 Kip: geometry.prior_sight_attention_seconds</x:v>
      </x:c>
      <x:c r="E588" s="60" t="n">
        <x:v>1</x:v>
      </x:c>
      <x:c r="F588" s="19" t="str">
        <x:v>Planned</x:v>
      </x:c>
    </x:row>
    <x:row r="589" ht="28" customHeight="1">
      <x:c r="A589" s="17" t="str">
        <x:v>F582</x:v>
      </x:c>
      <x:c r="B589" s="51" t="n">
        <x:v>7</x:v>
      </x:c>
      <x:c r="C589" s="17" t="str">
        <x:v>Event detail</x:v>
      </x:c>
      <x:c r="D589" s="20" t="str">
        <x:v>C07E03 Kip: geometry.visible_at_start</x:v>
      </x:c>
      <x:c r="E589" s="59" t="b">
        <x:v>1</x:v>
      </x:c>
      <x:c r="F589" s="20" t="str">
        <x:v>Planned</x:v>
      </x:c>
    </x:row>
    <x:row r="590" ht="32" customHeight="1">
      <x:c r="A590" s="2" t="str">
        <x:v>F583</x:v>
      </x:c>
      <x:c r="B590" s="50" t="n">
        <x:v>7</x:v>
      </x:c>
      <x:c r="C590" s="2" t="str">
        <x:v>Event detail</x:v>
      </x:c>
      <x:c r="D590" s="19" t="str">
        <x:v>C07E03 Kip: geometry.available_at_start</x:v>
      </x:c>
      <x:c r="E590" s="58" t="b">
        <x:v>1</x:v>
      </x:c>
      <x:c r="F590" s="19" t="str">
        <x:v>Planned</x:v>
      </x:c>
    </x:row>
    <x:row r="591" ht="32" customHeight="1">
      <x:c r="A591" s="17" t="str">
        <x:v>F584</x:v>
      </x:c>
      <x:c r="B591" s="51" t="n">
        <x:v>7</x:v>
      </x:c>
      <x:c r="C591" s="17" t="str">
        <x:v>Event detail</x:v>
      </x:c>
      <x:c r="D591" s="20" t="str">
        <x:v>C07E03 Kip: geometry.within_normal_mechanical_arc</x:v>
      </x:c>
      <x:c r="E591" s="59" t="b">
        <x:v>1</x:v>
      </x:c>
      <x:c r="F591" s="20" t="str">
        <x:v>Planned</x:v>
      </x:c>
    </x:row>
    <x:row r="592" ht="28" customHeight="1">
      <x:c r="A592" s="2" t="str">
        <x:v>F585</x:v>
      </x:c>
      <x:c r="B592" s="50" t="n">
        <x:v>7</x:v>
      </x:c>
      <x:c r="C592" s="2" t="str">
        <x:v>Event detail</x:v>
      </x:c>
      <x:c r="D592" s="19" t="str">
        <x:v>C07E03 Kip: geometry.ready_at_start</x:v>
      </x:c>
      <x:c r="E592" s="58" t="b">
        <x:v>1</x:v>
      </x:c>
      <x:c r="F592" s="19" t="str">
        <x:v>Planned</x:v>
      </x:c>
    </x:row>
    <x:row r="593" ht="32" customHeight="1">
      <x:c r="A593" s="17" t="str">
        <x:v>F586</x:v>
      </x:c>
      <x:c r="B593" s="51" t="n">
        <x:v>7</x:v>
      </x:c>
      <x:c r="C593" s="17" t="str">
        <x:v>Event detail</x:v>
      </x:c>
      <x:c r="D593" s="20" t="str">
        <x:v>C07E03 Kip: geometry.target_is_constructed_fixture</x:v>
      </x:c>
      <x:c r="E593" s="59" t="b">
        <x:v>1</x:v>
      </x:c>
      <x:c r="F593" s="20" t="str">
        <x:v>Planned</x:v>
      </x:c>
    </x:row>
    <x:row r="594" ht="32" customHeight="1">
      <x:c r="A594" s="2" t="str">
        <x:v>F587</x:v>
      </x:c>
      <x:c r="B594" s="50" t="n">
        <x:v>7</x:v>
      </x:c>
      <x:c r="C594" s="2" t="str">
        <x:v>Event detail</x:v>
      </x:c>
      <x:c r="D594" s="19" t="str">
        <x:v>C07E03 Kip: geometry.shield_removed_physically_if_any</x:v>
      </x:c>
      <x:c r="E594" s="58" t="b">
        <x:v>1</x:v>
      </x:c>
      <x:c r="F594" s="19" t="str">
        <x:v>Planned</x:v>
      </x:c>
    </x:row>
    <x:row r="595" ht="28" customHeight="1">
      <x:c r="A595" s="17" t="str">
        <x:v>F588</x:v>
      </x:c>
      <x:c r="B595" s="51" t="n">
        <x:v>7</x:v>
      </x:c>
      <x:c r="C595" s="17" t="str">
        <x:v>Event detail</x:v>
      </x:c>
      <x:c r="D595" s="20" t="str">
        <x:v>C07E03 Kip: outcome</x:v>
      </x:c>
      <x:c r="E595" s="20" t="str">
        <x:v>ordinary legal fixture function, no strengthened output</x:v>
      </x:c>
      <x:c r="F595" s="20" t="str">
        <x:v>Planned</x:v>
      </x:c>
    </x:row>
    <x:row r="596" ht="28" customHeight="1">
      <x:c r="A596" s="2" t="str">
        <x:v>F589</x:v>
      </x:c>
      <x:c r="B596" s="50" t="n">
        <x:v>7</x:v>
      </x:c>
      <x:c r="C596" s="2" t="str">
        <x:v>Event detail</x:v>
      </x:c>
      <x:c r="D596" s="19" t="str">
        <x:v>C07E04 Kip: target</x:v>
      </x:c>
      <x:c r="E596" s="19" t="str">
        <x:v>cistern training waterjet</x:v>
      </x:c>
      <x:c r="F596" s="19" t="str">
        <x:v>Planned</x:v>
      </x:c>
    </x:row>
    <x:row r="597" ht="32" customHeight="1">
      <x:c r="A597" s="17" t="str">
        <x:v>F590</x:v>
      </x:c>
      <x:c r="B597" s="51" t="n">
        <x:v>7</x:v>
      </x:c>
      <x:c r="C597" s="17" t="str">
        <x:v>Event detail</x:v>
      </x:c>
      <x:c r="D597" s="20" t="str">
        <x:v>C07E04 Kip: note</x:v>
      </x:c>
      <x:c r="E597" s="20" t="str">
        <x:v>Ordinary fixed-output aiming control into a physically safe empty catch within its normal arc; no invented low-power setting and no XP.</x:v>
      </x:c>
      <x:c r="F597" s="20" t="str">
        <x:v>Planned</x:v>
      </x:c>
    </x:row>
    <x:row r="598" ht="28" customHeight="1">
      <x:c r="A598" s="2" t="str">
        <x:v>F591</x:v>
      </x:c>
      <x:c r="B598" s="50" t="n">
        <x:v>7</x:v>
      </x:c>
      <x:c r="C598" s="2" t="str">
        <x:v>Event detail</x:v>
      </x:c>
      <x:c r="D598" s="19" t="str">
        <x:v>C07E04 Kip: control_seconds</x:v>
      </x:c>
      <x:c r="E598" s="60" t="n">
        <x:v>5</x:v>
      </x:c>
      <x:c r="F598" s="19" t="str">
        <x:v>Planned</x:v>
      </x:c>
    </x:row>
    <x:row r="599" ht="28" customHeight="1">
      <x:c r="A599" s="17" t="str">
        <x:v>F592</x:v>
      </x:c>
      <x:c r="B599" s="51" t="n">
        <x:v>7</x:v>
      </x:c>
      <x:c r="C599" s="17" t="str">
        <x:v>Event detail</x:v>
      </x:c>
      <x:c r="D599" s="20" t="str">
        <x:v>C07E04 Kip: geometry.distance_m</x:v>
      </x:c>
      <x:c r="E599" s="61" t="n">
        <x:v>6</x:v>
      </x:c>
      <x:c r="F599" s="20" t="str">
        <x:v>Planned</x:v>
      </x:c>
    </x:row>
    <x:row r="600" ht="32" customHeight="1">
      <x:c r="A600" s="2" t="str">
        <x:v>F593</x:v>
      </x:c>
      <x:c r="B600" s="50" t="n">
        <x:v>7</x:v>
      </x:c>
      <x:c r="C600" s="2" t="str">
        <x:v>Event detail</x:v>
      </x:c>
      <x:c r="D600" s="19" t="str">
        <x:v>C07E04 Kip: geometry.prior_sight_distance_m</x:v>
      </x:c>
      <x:c r="E600" s="60" t="n">
        <x:v>6</x:v>
      </x:c>
      <x:c r="F600" s="19" t="str">
        <x:v>Planned</x:v>
      </x:c>
    </x:row>
    <x:row r="601" ht="32" customHeight="1">
      <x:c r="A601" s="17" t="str">
        <x:v>F594</x:v>
      </x:c>
      <x:c r="B601" s="51" t="n">
        <x:v>7</x:v>
      </x:c>
      <x:c r="C601" s="17" t="str">
        <x:v>Event detail</x:v>
      </x:c>
      <x:c r="D601" s="20" t="str">
        <x:v>C07E04 Kip: geometry.prior_sight_attention_seconds</x:v>
      </x:c>
      <x:c r="E601" s="61" t="n">
        <x:v>1</x:v>
      </x:c>
      <x:c r="F601" s="20" t="str">
        <x:v>Planned</x:v>
      </x:c>
    </x:row>
    <x:row r="602" ht="28" customHeight="1">
      <x:c r="A602" s="2" t="str">
        <x:v>F595</x:v>
      </x:c>
      <x:c r="B602" s="50" t="n">
        <x:v>7</x:v>
      </x:c>
      <x:c r="C602" s="2" t="str">
        <x:v>Event detail</x:v>
      </x:c>
      <x:c r="D602" s="19" t="str">
        <x:v>C07E04 Kip: geometry.visible_at_start</x:v>
      </x:c>
      <x:c r="E602" s="58" t="b">
        <x:v>1</x:v>
      </x:c>
      <x:c r="F602" s="19" t="str">
        <x:v>Planned</x:v>
      </x:c>
    </x:row>
    <x:row r="603" ht="32" customHeight="1">
      <x:c r="A603" s="17" t="str">
        <x:v>F596</x:v>
      </x:c>
      <x:c r="B603" s="51" t="n">
        <x:v>7</x:v>
      </x:c>
      <x:c r="C603" s="17" t="str">
        <x:v>Event detail</x:v>
      </x:c>
      <x:c r="D603" s="20" t="str">
        <x:v>C07E04 Kip: geometry.available_at_start</x:v>
      </x:c>
      <x:c r="E603" s="59" t="b">
        <x:v>1</x:v>
      </x:c>
      <x:c r="F603" s="20" t="str">
        <x:v>Planned</x:v>
      </x:c>
    </x:row>
    <x:row r="604" ht="32" customHeight="1">
      <x:c r="A604" s="2" t="str">
        <x:v>F597</x:v>
      </x:c>
      <x:c r="B604" s="50" t="n">
        <x:v>7</x:v>
      </x:c>
      <x:c r="C604" s="2" t="str">
        <x:v>Event detail</x:v>
      </x:c>
      <x:c r="D604" s="19" t="str">
        <x:v>C07E04 Kip: geometry.within_normal_mechanical_arc</x:v>
      </x:c>
      <x:c r="E604" s="58" t="b">
        <x:v>1</x:v>
      </x:c>
      <x:c r="F604" s="19" t="str">
        <x:v>Planned</x:v>
      </x:c>
    </x:row>
    <x:row r="605" ht="28" customHeight="1">
      <x:c r="A605" s="17" t="str">
        <x:v>F598</x:v>
      </x:c>
      <x:c r="B605" s="51" t="n">
        <x:v>7</x:v>
      </x:c>
      <x:c r="C605" s="17" t="str">
        <x:v>Event detail</x:v>
      </x:c>
      <x:c r="D605" s="20" t="str">
        <x:v>C07E04 Kip: geometry.ready_at_start</x:v>
      </x:c>
      <x:c r="E605" s="59" t="b">
        <x:v>1</x:v>
      </x:c>
      <x:c r="F605" s="20" t="str">
        <x:v>Planned</x:v>
      </x:c>
    </x:row>
    <x:row r="606" ht="32" customHeight="1">
      <x:c r="A606" s="2" t="str">
        <x:v>F599</x:v>
      </x:c>
      <x:c r="B606" s="50" t="n">
        <x:v>7</x:v>
      </x:c>
      <x:c r="C606" s="2" t="str">
        <x:v>Event detail</x:v>
      </x:c>
      <x:c r="D606" s="19" t="str">
        <x:v>C07E04 Kip: geometry.target_is_constructed_fixture</x:v>
      </x:c>
      <x:c r="E606" s="58" t="b">
        <x:v>1</x:v>
      </x:c>
      <x:c r="F606" s="19" t="str">
        <x:v>Planned</x:v>
      </x:c>
    </x:row>
    <x:row r="607" ht="32" customHeight="1">
      <x:c r="A607" s="17" t="str">
        <x:v>F600</x:v>
      </x:c>
      <x:c r="B607" s="51" t="n">
        <x:v>7</x:v>
      </x:c>
      <x:c r="C607" s="17" t="str">
        <x:v>Event detail</x:v>
      </x:c>
      <x:c r="D607" s="20" t="str">
        <x:v>C07E04 Kip: geometry.shield_removed_physically_if_any</x:v>
      </x:c>
      <x:c r="E607" s="59" t="b">
        <x:v>1</x:v>
      </x:c>
      <x:c r="F607" s="20" t="str">
        <x:v>Planned</x:v>
      </x:c>
    </x:row>
    <x:row r="608" ht="28" customHeight="1">
      <x:c r="A608" s="2" t="str">
        <x:v>F601</x:v>
      </x:c>
      <x:c r="B608" s="50" t="n">
        <x:v>7</x:v>
      </x:c>
      <x:c r="C608" s="2" t="str">
        <x:v>Event detail</x:v>
      </x:c>
      <x:c r="D608" s="19" t="str">
        <x:v>C07E04 Kip: outcome</x:v>
      </x:c>
      <x:c r="E608" s="19" t="str">
        <x:v>ordinary legal fixture function, no strengthened output</x:v>
      </x:c>
      <x:c r="F608" s="19" t="str">
        <x:v>Planned</x:v>
      </x:c>
    </x:row>
    <x:row r="609" ht="28" customHeight="1">
      <x:c r="A609" s="17" t="str">
        <x:v>F602</x:v>
      </x:c>
      <x:c r="B609" s="51" t="n">
        <x:v>7</x:v>
      </x:c>
      <x:c r="C609" s="17" t="str">
        <x:v>Event detail</x:v>
      </x:c>
      <x:c r="D609" s="20" t="str">
        <x:v>C07E05 Kip: target</x:v>
      </x:c>
      <x:c r="E609" s="20" t="str">
        <x:v>cistern training waterjet</x:v>
      </x:c>
      <x:c r="F609" s="20" t="str">
        <x:v>Planned</x:v>
      </x:c>
    </x:row>
    <x:row r="610" ht="32" customHeight="1">
      <x:c r="A610" s="2" t="str">
        <x:v>F603</x:v>
      </x:c>
      <x:c r="B610" s="50" t="n">
        <x:v>7</x:v>
      </x:c>
      <x:c r="C610" s="2" t="str">
        <x:v>Event detail</x:v>
      </x:c>
      <x:c r="D610" s="19" t="str">
        <x:v>C07E05 Kip: note</x:v>
      </x:c>
      <x:c r="E610" s="19" t="str">
        <x:v>Ordinary fixed-output aiming control into a physically safe empty catch within its normal arc; no invented low-power setting and no XP.</x:v>
      </x:c>
      <x:c r="F610" s="19" t="str">
        <x:v>Planned</x:v>
      </x:c>
    </x:row>
    <x:row r="611" ht="28" customHeight="1">
      <x:c r="A611" s="17" t="str">
        <x:v>F604</x:v>
      </x:c>
      <x:c r="B611" s="51" t="n">
        <x:v>7</x:v>
      </x:c>
      <x:c r="C611" s="17" t="str">
        <x:v>Event detail</x:v>
      </x:c>
      <x:c r="D611" s="20" t="str">
        <x:v>C07E05 Kip: control_seconds</x:v>
      </x:c>
      <x:c r="E611" s="61" t="n">
        <x:v>5</x:v>
      </x:c>
      <x:c r="F611" s="20" t="str">
        <x:v>Planned</x:v>
      </x:c>
    </x:row>
    <x:row r="612" ht="28" customHeight="1">
      <x:c r="A612" s="2" t="str">
        <x:v>F605</x:v>
      </x:c>
      <x:c r="B612" s="50" t="n">
        <x:v>7</x:v>
      </x:c>
      <x:c r="C612" s="2" t="str">
        <x:v>Event detail</x:v>
      </x:c>
      <x:c r="D612" s="19" t="str">
        <x:v>C07E05 Kip: geometry.distance_m</x:v>
      </x:c>
      <x:c r="E612" s="60" t="n">
        <x:v>6</x:v>
      </x:c>
      <x:c r="F612" s="19" t="str">
        <x:v>Planned</x:v>
      </x:c>
    </x:row>
    <x:row r="613" ht="32" customHeight="1">
      <x:c r="A613" s="17" t="str">
        <x:v>F606</x:v>
      </x:c>
      <x:c r="B613" s="51" t="n">
        <x:v>7</x:v>
      </x:c>
      <x:c r="C613" s="17" t="str">
        <x:v>Event detail</x:v>
      </x:c>
      <x:c r="D613" s="20" t="str">
        <x:v>C07E05 Kip: geometry.prior_sight_distance_m</x:v>
      </x:c>
      <x:c r="E613" s="61" t="n">
        <x:v>6</x:v>
      </x:c>
      <x:c r="F613" s="20" t="str">
        <x:v>Planned</x:v>
      </x:c>
    </x:row>
    <x:row r="614" ht="32" customHeight="1">
      <x:c r="A614" s="2" t="str">
        <x:v>F607</x:v>
      </x:c>
      <x:c r="B614" s="50" t="n">
        <x:v>7</x:v>
      </x:c>
      <x:c r="C614" s="2" t="str">
        <x:v>Event detail</x:v>
      </x:c>
      <x:c r="D614" s="19" t="str">
        <x:v>C07E05 Kip: geometry.prior_sight_attention_seconds</x:v>
      </x:c>
      <x:c r="E614" s="60" t="n">
        <x:v>1</x:v>
      </x:c>
      <x:c r="F614" s="19" t="str">
        <x:v>Planned</x:v>
      </x:c>
    </x:row>
    <x:row r="615" ht="28" customHeight="1">
      <x:c r="A615" s="17" t="str">
        <x:v>F608</x:v>
      </x:c>
      <x:c r="B615" s="51" t="n">
        <x:v>7</x:v>
      </x:c>
      <x:c r="C615" s="17" t="str">
        <x:v>Event detail</x:v>
      </x:c>
      <x:c r="D615" s="20" t="str">
        <x:v>C07E05 Kip: geometry.visible_at_start</x:v>
      </x:c>
      <x:c r="E615" s="59" t="b">
        <x:v>1</x:v>
      </x:c>
      <x:c r="F615" s="20" t="str">
        <x:v>Planned</x:v>
      </x:c>
    </x:row>
    <x:row r="616" ht="32" customHeight="1">
      <x:c r="A616" s="2" t="str">
        <x:v>F609</x:v>
      </x:c>
      <x:c r="B616" s="50" t="n">
        <x:v>7</x:v>
      </x:c>
      <x:c r="C616" s="2" t="str">
        <x:v>Event detail</x:v>
      </x:c>
      <x:c r="D616" s="19" t="str">
        <x:v>C07E05 Kip: geometry.available_at_start</x:v>
      </x:c>
      <x:c r="E616" s="58" t="b">
        <x:v>1</x:v>
      </x:c>
      <x:c r="F616" s="19" t="str">
        <x:v>Planned</x:v>
      </x:c>
    </x:row>
    <x:row r="617" ht="32" customHeight="1">
      <x:c r="A617" s="17" t="str">
        <x:v>F610</x:v>
      </x:c>
      <x:c r="B617" s="51" t="n">
        <x:v>7</x:v>
      </x:c>
      <x:c r="C617" s="17" t="str">
        <x:v>Event detail</x:v>
      </x:c>
      <x:c r="D617" s="20" t="str">
        <x:v>C07E05 Kip: geometry.within_normal_mechanical_arc</x:v>
      </x:c>
      <x:c r="E617" s="59" t="b">
        <x:v>1</x:v>
      </x:c>
      <x:c r="F617" s="20" t="str">
        <x:v>Planned</x:v>
      </x:c>
    </x:row>
    <x:row r="618" ht="28" customHeight="1">
      <x:c r="A618" s="2" t="str">
        <x:v>F611</x:v>
      </x:c>
      <x:c r="B618" s="50" t="n">
        <x:v>7</x:v>
      </x:c>
      <x:c r="C618" s="2" t="str">
        <x:v>Event detail</x:v>
      </x:c>
      <x:c r="D618" s="19" t="str">
        <x:v>C07E05 Kip: geometry.ready_at_start</x:v>
      </x:c>
      <x:c r="E618" s="58" t="b">
        <x:v>1</x:v>
      </x:c>
      <x:c r="F618" s="19" t="str">
        <x:v>Planned</x:v>
      </x:c>
    </x:row>
    <x:row r="619" ht="32" customHeight="1">
      <x:c r="A619" s="17" t="str">
        <x:v>F612</x:v>
      </x:c>
      <x:c r="B619" s="51" t="n">
        <x:v>7</x:v>
      </x:c>
      <x:c r="C619" s="17" t="str">
        <x:v>Event detail</x:v>
      </x:c>
      <x:c r="D619" s="20" t="str">
        <x:v>C07E05 Kip: geometry.target_is_constructed_fixture</x:v>
      </x:c>
      <x:c r="E619" s="59" t="b">
        <x:v>1</x:v>
      </x:c>
      <x:c r="F619" s="20" t="str">
        <x:v>Planned</x:v>
      </x:c>
    </x:row>
    <x:row r="620" ht="32" customHeight="1">
      <x:c r="A620" s="2" t="str">
        <x:v>F613</x:v>
      </x:c>
      <x:c r="B620" s="50" t="n">
        <x:v>7</x:v>
      </x:c>
      <x:c r="C620" s="2" t="str">
        <x:v>Event detail</x:v>
      </x:c>
      <x:c r="D620" s="19" t="str">
        <x:v>C07E05 Kip: geometry.shield_removed_physically_if_any</x:v>
      </x:c>
      <x:c r="E620" s="58" t="b">
        <x:v>1</x:v>
      </x:c>
      <x:c r="F620" s="19" t="str">
        <x:v>Planned</x:v>
      </x:c>
    </x:row>
    <x:row r="621" ht="28" customHeight="1">
      <x:c r="A621" s="17" t="str">
        <x:v>F614</x:v>
      </x:c>
      <x:c r="B621" s="51" t="n">
        <x:v>7</x:v>
      </x:c>
      <x:c r="C621" s="17" t="str">
        <x:v>Event detail</x:v>
      </x:c>
      <x:c r="D621" s="20" t="str">
        <x:v>C07E05 Kip: outcome</x:v>
      </x:c>
      <x:c r="E621" s="20" t="str">
        <x:v>ordinary legal fixture function, no strengthened output</x:v>
      </x:c>
      <x:c r="F621" s="20" t="str">
        <x:v>Planned</x:v>
      </x:c>
    </x:row>
    <x:row r="622" ht="28" customHeight="1">
      <x:c r="A622" s="2" t="str">
        <x:v>F615</x:v>
      </x:c>
      <x:c r="B622" s="50" t="n">
        <x:v>7</x:v>
      </x:c>
      <x:c r="C622" s="2" t="str">
        <x:v>Event detail</x:v>
      </x:c>
      <x:c r="D622" s="19" t="str">
        <x:v>C07E06 Kip: target</x:v>
      </x:c>
      <x:c r="E622" s="19" t="str">
        <x:v>cistern training waterjet</x:v>
      </x:c>
      <x:c r="F622" s="19" t="str">
        <x:v>Planned</x:v>
      </x:c>
    </x:row>
    <x:row r="623" ht="32" customHeight="1">
      <x:c r="A623" s="17" t="str">
        <x:v>F616</x:v>
      </x:c>
      <x:c r="B623" s="51" t="n">
        <x:v>7</x:v>
      </x:c>
      <x:c r="C623" s="17" t="str">
        <x:v>Event detail</x:v>
      </x:c>
      <x:c r="D623" s="20" t="str">
        <x:v>C07E06 Kip: note</x:v>
      </x:c>
      <x:c r="E623" s="20" t="str">
        <x:v>Ordinary fixed-output aiming control into a physically safe empty catch within its normal arc; no invented low-power setting and no XP.</x:v>
      </x:c>
      <x:c r="F623" s="20" t="str">
        <x:v>Planned</x:v>
      </x:c>
    </x:row>
    <x:row r="624" ht="28" customHeight="1">
      <x:c r="A624" s="2" t="str">
        <x:v>F617</x:v>
      </x:c>
      <x:c r="B624" s="50" t="n">
        <x:v>7</x:v>
      </x:c>
      <x:c r="C624" s="2" t="str">
        <x:v>Event detail</x:v>
      </x:c>
      <x:c r="D624" s="19" t="str">
        <x:v>C07E06 Kip: control_seconds</x:v>
      </x:c>
      <x:c r="E624" s="60" t="n">
        <x:v>5</x:v>
      </x:c>
      <x:c r="F624" s="19" t="str">
        <x:v>Planned</x:v>
      </x:c>
    </x:row>
    <x:row r="625" ht="28" customHeight="1">
      <x:c r="A625" s="17" t="str">
        <x:v>F618</x:v>
      </x:c>
      <x:c r="B625" s="51" t="n">
        <x:v>7</x:v>
      </x:c>
      <x:c r="C625" s="17" t="str">
        <x:v>Event detail</x:v>
      </x:c>
      <x:c r="D625" s="20" t="str">
        <x:v>C07E06 Kip: geometry.distance_m</x:v>
      </x:c>
      <x:c r="E625" s="61" t="n">
        <x:v>6</x:v>
      </x:c>
      <x:c r="F625" s="20" t="str">
        <x:v>Planned</x:v>
      </x:c>
    </x:row>
    <x:row r="626" ht="32" customHeight="1">
      <x:c r="A626" s="2" t="str">
        <x:v>F619</x:v>
      </x:c>
      <x:c r="B626" s="50" t="n">
        <x:v>7</x:v>
      </x:c>
      <x:c r="C626" s="2" t="str">
        <x:v>Event detail</x:v>
      </x:c>
      <x:c r="D626" s="19" t="str">
        <x:v>C07E06 Kip: geometry.prior_sight_distance_m</x:v>
      </x:c>
      <x:c r="E626" s="60" t="n">
        <x:v>6</x:v>
      </x:c>
      <x:c r="F626" s="19" t="str">
        <x:v>Planned</x:v>
      </x:c>
    </x:row>
    <x:row r="627" ht="32" customHeight="1">
      <x:c r="A627" s="17" t="str">
        <x:v>F620</x:v>
      </x:c>
      <x:c r="B627" s="51" t="n">
        <x:v>7</x:v>
      </x:c>
      <x:c r="C627" s="17" t="str">
        <x:v>Event detail</x:v>
      </x:c>
      <x:c r="D627" s="20" t="str">
        <x:v>C07E06 Kip: geometry.prior_sight_attention_seconds</x:v>
      </x:c>
      <x:c r="E627" s="61" t="n">
        <x:v>1</x:v>
      </x:c>
      <x:c r="F627" s="20" t="str">
        <x:v>Planned</x:v>
      </x:c>
    </x:row>
    <x:row r="628" ht="28" customHeight="1">
      <x:c r="A628" s="2" t="str">
        <x:v>F621</x:v>
      </x:c>
      <x:c r="B628" s="50" t="n">
        <x:v>7</x:v>
      </x:c>
      <x:c r="C628" s="2" t="str">
        <x:v>Event detail</x:v>
      </x:c>
      <x:c r="D628" s="19" t="str">
        <x:v>C07E06 Kip: geometry.visible_at_start</x:v>
      </x:c>
      <x:c r="E628" s="58" t="b">
        <x:v>1</x:v>
      </x:c>
      <x:c r="F628" s="19" t="str">
        <x:v>Planned</x:v>
      </x:c>
    </x:row>
    <x:row r="629" ht="32" customHeight="1">
      <x:c r="A629" s="17" t="str">
        <x:v>F622</x:v>
      </x:c>
      <x:c r="B629" s="51" t="n">
        <x:v>7</x:v>
      </x:c>
      <x:c r="C629" s="17" t="str">
        <x:v>Event detail</x:v>
      </x:c>
      <x:c r="D629" s="20" t="str">
        <x:v>C07E06 Kip: geometry.available_at_start</x:v>
      </x:c>
      <x:c r="E629" s="59" t="b">
        <x:v>1</x:v>
      </x:c>
      <x:c r="F629" s="20" t="str">
        <x:v>Planned</x:v>
      </x:c>
    </x:row>
    <x:row r="630" ht="32" customHeight="1">
      <x:c r="A630" s="2" t="str">
        <x:v>F623</x:v>
      </x:c>
      <x:c r="B630" s="50" t="n">
        <x:v>7</x:v>
      </x:c>
      <x:c r="C630" s="2" t="str">
        <x:v>Event detail</x:v>
      </x:c>
      <x:c r="D630" s="19" t="str">
        <x:v>C07E06 Kip: geometry.within_normal_mechanical_arc</x:v>
      </x:c>
      <x:c r="E630" s="58" t="b">
        <x:v>1</x:v>
      </x:c>
      <x:c r="F630" s="19" t="str">
        <x:v>Planned</x:v>
      </x:c>
    </x:row>
    <x:row r="631" ht="28" customHeight="1">
      <x:c r="A631" s="17" t="str">
        <x:v>F624</x:v>
      </x:c>
      <x:c r="B631" s="51" t="n">
        <x:v>7</x:v>
      </x:c>
      <x:c r="C631" s="17" t="str">
        <x:v>Event detail</x:v>
      </x:c>
      <x:c r="D631" s="20" t="str">
        <x:v>C07E06 Kip: geometry.ready_at_start</x:v>
      </x:c>
      <x:c r="E631" s="59" t="b">
        <x:v>1</x:v>
      </x:c>
      <x:c r="F631" s="20" t="str">
        <x:v>Planned</x:v>
      </x:c>
    </x:row>
    <x:row r="632" ht="32" customHeight="1">
      <x:c r="A632" s="2" t="str">
        <x:v>F625</x:v>
      </x:c>
      <x:c r="B632" s="50" t="n">
        <x:v>7</x:v>
      </x:c>
      <x:c r="C632" s="2" t="str">
        <x:v>Event detail</x:v>
      </x:c>
      <x:c r="D632" s="19" t="str">
        <x:v>C07E06 Kip: geometry.target_is_constructed_fixture</x:v>
      </x:c>
      <x:c r="E632" s="58" t="b">
        <x:v>1</x:v>
      </x:c>
      <x:c r="F632" s="19" t="str">
        <x:v>Planned</x:v>
      </x:c>
    </x:row>
    <x:row r="633" ht="32" customHeight="1">
      <x:c r="A633" s="17" t="str">
        <x:v>F626</x:v>
      </x:c>
      <x:c r="B633" s="51" t="n">
        <x:v>7</x:v>
      </x:c>
      <x:c r="C633" s="17" t="str">
        <x:v>Event detail</x:v>
      </x:c>
      <x:c r="D633" s="20" t="str">
        <x:v>C07E06 Kip: geometry.shield_removed_physically_if_any</x:v>
      </x:c>
      <x:c r="E633" s="59" t="b">
        <x:v>1</x:v>
      </x:c>
      <x:c r="F633" s="20" t="str">
        <x:v>Planned</x:v>
      </x:c>
    </x:row>
    <x:row r="634" ht="28" customHeight="1">
      <x:c r="A634" s="2" t="str">
        <x:v>F627</x:v>
      </x:c>
      <x:c r="B634" s="50" t="n">
        <x:v>7</x:v>
      </x:c>
      <x:c r="C634" s="2" t="str">
        <x:v>Event detail</x:v>
      </x:c>
      <x:c r="D634" s="19" t="str">
        <x:v>C07E06 Kip: outcome</x:v>
      </x:c>
      <x:c r="E634" s="19" t="str">
        <x:v>ordinary legal fixture function, no strengthened output</x:v>
      </x:c>
      <x:c r="F634" s="19" t="str">
        <x:v>Planned</x:v>
      </x:c>
    </x:row>
    <x:row r="635" ht="28" customHeight="1">
      <x:c r="A635" s="17" t="str">
        <x:v>F628</x:v>
      </x:c>
      <x:c r="B635" s="51" t="n">
        <x:v>7</x:v>
      </x:c>
      <x:c r="C635" s="17" t="str">
        <x:v>Event detail</x:v>
      </x:c>
      <x:c r="D635" s="20" t="str">
        <x:v>C07E07 Kip: note</x:v>
      </x:c>
      <x:c r="E635" s="20" t="str">
        <x:v>Dedicated quiet recovery interval excluded from focused training time; Tessa holds watch.</x:v>
      </x:c>
      <x:c r="F635" s="20" t="str">
        <x:v>Planned</x:v>
      </x:c>
    </x:row>
    <x:row r="636" ht="28" customHeight="1">
      <x:c r="A636" s="2" t="str">
        <x:v>F629</x:v>
      </x:c>
      <x:c r="B636" s="50" t="n">
        <x:v>7</x:v>
      </x:c>
      <x:c r="C636" s="2" t="str">
        <x:v>Event detail</x:v>
      </x:c>
      <x:c r="D636" s="19" t="str">
        <x:v>C07E07 Kip: ends</x:v>
      </x:c>
      <x:c r="E636" s="19" t="str">
        <x:v>Day 1 18:12:00</x:v>
      </x:c>
      <x:c r="F636" s="19" t="str">
        <x:v>Planned</x:v>
      </x:c>
    </x:row>
    <x:row r="637" ht="28" customHeight="1">
      <x:c r="A637" s="17" t="str">
        <x:v>F630</x:v>
      </x:c>
      <x:c r="B637" s="51" t="n">
        <x:v>8</x:v>
      </x:c>
      <x:c r="C637" s="17" t="str">
        <x:v>Event detail</x:v>
      </x:c>
      <x:c r="D637" s="20" t="str">
        <x:v>C08E01 Kip: target</x:v>
      </x:c>
      <x:c r="E637" s="20" t="str">
        <x:v>cistern west dart fixture</x:v>
      </x:c>
      <x:c r="F637" s="20" t="str">
        <x:v>Planned</x:v>
      </x:c>
    </x:row>
    <x:row r="638" ht="28" customHeight="1">
      <x:c r="A638" s="2" t="str">
        <x:v>F631</x:v>
      </x:c>
      <x:c r="B638" s="50" t="n">
        <x:v>8</x:v>
      </x:c>
      <x:c r="C638" s="2" t="str">
        <x:v>Event detail</x:v>
      </x:c>
      <x:c r="D638" s="19" t="str">
        <x:v>C08E01 Kip: note</x:v>
      </x:c>
      <x:c r="E638" s="19" t="str">
        <x:v>Within9m; currentRank1 proof succeeds before Rank2 granted.</x:v>
      </x:c>
      <x:c r="F638" s="19" t="str">
        <x:v>Planned</x:v>
      </x:c>
    </x:row>
    <x:row r="639" ht="28" customHeight="1">
      <x:c r="A639" s="17" t="str">
        <x:v>F632</x:v>
      </x:c>
      <x:c r="B639" s="51" t="n">
        <x:v>8</x:v>
      </x:c>
      <x:c r="C639" s="17" t="str">
        <x:v>Event detail</x:v>
      </x:c>
      <x:c r="D639" s="20" t="str">
        <x:v>C08E01 Kip: control_seconds</x:v>
      </x:c>
      <x:c r="E639" s="61" t="n">
        <x:v>1</x:v>
      </x:c>
      <x:c r="F639" s="20" t="str">
        <x:v>Planned</x:v>
      </x:c>
    </x:row>
    <x:row r="640" ht="28" customHeight="1">
      <x:c r="A640" s="2" t="str">
        <x:v>F633</x:v>
      </x:c>
      <x:c r="B640" s="50" t="n">
        <x:v>8</x:v>
      </x:c>
      <x:c r="C640" s="2" t="str">
        <x:v>Event detail</x:v>
      </x:c>
      <x:c r="D640" s="19" t="str">
        <x:v>C08E01 Kip: geometry.distance_m</x:v>
      </x:c>
      <x:c r="E640" s="60" t="n">
        <x:v>9</x:v>
      </x:c>
      <x:c r="F640" s="19" t="str">
        <x:v>Planned</x:v>
      </x:c>
    </x:row>
    <x:row r="641" ht="32" customHeight="1">
      <x:c r="A641" s="17" t="str">
        <x:v>F634</x:v>
      </x:c>
      <x:c r="B641" s="51" t="n">
        <x:v>8</x:v>
      </x:c>
      <x:c r="C641" s="17" t="str">
        <x:v>Event detail</x:v>
      </x:c>
      <x:c r="D641" s="20" t="str">
        <x:v>C08E01 Kip: geometry.prior_sight_distance_m</x:v>
      </x:c>
      <x:c r="E641" s="61" t="n">
        <x:v>9</x:v>
      </x:c>
      <x:c r="F641" s="20" t="str">
        <x:v>Planned</x:v>
      </x:c>
    </x:row>
    <x:row r="642" ht="32" customHeight="1">
      <x:c r="A642" s="2" t="str">
        <x:v>F635</x:v>
      </x:c>
      <x:c r="B642" s="50" t="n">
        <x:v>8</x:v>
      </x:c>
      <x:c r="C642" s="2" t="str">
        <x:v>Event detail</x:v>
      </x:c>
      <x:c r="D642" s="19" t="str">
        <x:v>C08E01 Kip: geometry.prior_sight_attention_seconds</x:v>
      </x:c>
      <x:c r="E642" s="60" t="n">
        <x:v>1</x:v>
      </x:c>
      <x:c r="F642" s="19" t="str">
        <x:v>Planned</x:v>
      </x:c>
    </x:row>
    <x:row r="643" ht="28" customHeight="1">
      <x:c r="A643" s="17" t="str">
        <x:v>F636</x:v>
      </x:c>
      <x:c r="B643" s="51" t="n">
        <x:v>8</x:v>
      </x:c>
      <x:c r="C643" s="17" t="str">
        <x:v>Event detail</x:v>
      </x:c>
      <x:c r="D643" s="20" t="str">
        <x:v>C08E01 Kip: geometry.visible_at_start</x:v>
      </x:c>
      <x:c r="E643" s="59" t="b">
        <x:v>1</x:v>
      </x:c>
      <x:c r="F643" s="20" t="str">
        <x:v>Planned</x:v>
      </x:c>
    </x:row>
    <x:row r="644" ht="32" customHeight="1">
      <x:c r="A644" s="2" t="str">
        <x:v>F637</x:v>
      </x:c>
      <x:c r="B644" s="50" t="n">
        <x:v>8</x:v>
      </x:c>
      <x:c r="C644" s="2" t="str">
        <x:v>Event detail</x:v>
      </x:c>
      <x:c r="D644" s="19" t="str">
        <x:v>C08E01 Kip: geometry.available_at_start</x:v>
      </x:c>
      <x:c r="E644" s="58" t="b">
        <x:v>1</x:v>
      </x:c>
      <x:c r="F644" s="19" t="str">
        <x:v>Planned</x:v>
      </x:c>
    </x:row>
    <x:row r="645" ht="32" customHeight="1">
      <x:c r="A645" s="17" t="str">
        <x:v>F638</x:v>
      </x:c>
      <x:c r="B645" s="51" t="n">
        <x:v>8</x:v>
      </x:c>
      <x:c r="C645" s="17" t="str">
        <x:v>Event detail</x:v>
      </x:c>
      <x:c r="D645" s="20" t="str">
        <x:v>C08E01 Kip: geometry.within_normal_mechanical_arc</x:v>
      </x:c>
      <x:c r="E645" s="59" t="b">
        <x:v>1</x:v>
      </x:c>
      <x:c r="F645" s="20" t="str">
        <x:v>Planned</x:v>
      </x:c>
    </x:row>
    <x:row r="646" ht="28" customHeight="1">
      <x:c r="A646" s="2" t="str">
        <x:v>F639</x:v>
      </x:c>
      <x:c r="B646" s="50" t="n">
        <x:v>8</x:v>
      </x:c>
      <x:c r="C646" s="2" t="str">
        <x:v>Event detail</x:v>
      </x:c>
      <x:c r="D646" s="19" t="str">
        <x:v>C08E01 Kip: geometry.ready_at_start</x:v>
      </x:c>
      <x:c r="E646" s="58" t="b">
        <x:v>1</x:v>
      </x:c>
      <x:c r="F646" s="19" t="str">
        <x:v>Planned</x:v>
      </x:c>
    </x:row>
    <x:row r="647" ht="32" customHeight="1">
      <x:c r="A647" s="17" t="str">
        <x:v>F640</x:v>
      </x:c>
      <x:c r="B647" s="51" t="n">
        <x:v>8</x:v>
      </x:c>
      <x:c r="C647" s="17" t="str">
        <x:v>Event detail</x:v>
      </x:c>
      <x:c r="D647" s="20" t="str">
        <x:v>C08E01 Kip: geometry.target_is_constructed_fixture</x:v>
      </x:c>
      <x:c r="E647" s="59" t="b">
        <x:v>1</x:v>
      </x:c>
      <x:c r="F647" s="20" t="str">
        <x:v>Planned</x:v>
      </x:c>
    </x:row>
    <x:row r="648" ht="32" customHeight="1">
      <x:c r="A648" s="2" t="str">
        <x:v>F641</x:v>
      </x:c>
      <x:c r="B648" s="50" t="n">
        <x:v>8</x:v>
      </x:c>
      <x:c r="C648" s="2" t="str">
        <x:v>Event detail</x:v>
      </x:c>
      <x:c r="D648" s="19" t="str">
        <x:v>C08E01 Kip: geometry.shield_removed_physically_if_any</x:v>
      </x:c>
      <x:c r="E648" s="58" t="b">
        <x:v>1</x:v>
      </x:c>
      <x:c r="F648" s="19" t="str">
        <x:v>Planned</x:v>
      </x:c>
    </x:row>
    <x:row r="649" ht="28" customHeight="1">
      <x:c r="A649" s="17" t="str">
        <x:v>F642</x:v>
      </x:c>
      <x:c r="B649" s="51" t="n">
        <x:v>8</x:v>
      </x:c>
      <x:c r="C649" s="17" t="str">
        <x:v>Event detail</x:v>
      </x:c>
      <x:c r="D649" s="20" t="str">
        <x:v>C08E01 Kip: outcome</x:v>
      </x:c>
      <x:c r="E649" s="20" t="str">
        <x:v>ordinary legal fixture function, no strengthened output</x:v>
      </x:c>
      <x:c r="F649" s="20" t="str">
        <x:v>Planned</x:v>
      </x:c>
    </x:row>
    <x:row r="650" ht="28" customHeight="1">
      <x:c r="A650" s="2" t="str">
        <x:v>F643</x:v>
      </x:c>
      <x:c r="B650" s="50" t="n">
        <x:v>8</x:v>
      </x:c>
      <x:c r="C650" s="2" t="str">
        <x:v>Event detail</x:v>
      </x:c>
      <x:c r="D650" s="19" t="str">
        <x:v>C08E02 Tessa: target</x:v>
      </x:c>
      <x:c r="E650" s="19" t="str">
        <x:v>patient evacuation route</x:v>
      </x:c>
      <x:c r="F650" s="19" t="str">
        <x:v>Planned</x:v>
      </x:c>
    </x:row>
    <x:row r="651" ht="28" customHeight="1">
      <x:c r="A651" s="17" t="str">
        <x:v>F644</x:v>
      </x:c>
      <x:c r="B651" s="51" t="n">
        <x:v>8</x:v>
      </x:c>
      <x:c r="C651" s="17" t="str">
        <x:v>Event detail</x:v>
      </x:c>
      <x:c r="D651" s="20" t="str">
        <x:v>C08E02 Tessa: geometry.path_length_m</x:v>
      </x:c>
      <x:c r="E651" s="61" t="n">
        <x:v>8</x:v>
      </x:c>
      <x:c r="F651" s="20" t="str">
        <x:v>Planned</x:v>
      </x:c>
    </x:row>
    <x:row r="652" ht="32" customHeight="1">
      <x:c r="A652" s="2" t="str">
        <x:v>F645</x:v>
      </x:c>
      <x:c r="B652" s="50" t="n">
        <x:v>8</x:v>
      </x:c>
      <x:c r="C652" s="2" t="str">
        <x:v>Event detail</x:v>
      </x:c>
      <x:c r="D652" s="19" t="str">
        <x:v>C08E02 Tessa: geometry.visible_traversable_physical_path</x:v>
      </x:c>
      <x:c r="E652" s="58" t="b">
        <x:v>1</x:v>
      </x:c>
      <x:c r="F652" s="19" t="str">
        <x:v>Planned</x:v>
      </x:c>
    </x:row>
    <x:row r="653" ht="32" customHeight="1">
      <x:c r="A653" s="17" t="str">
        <x:v>F646</x:v>
      </x:c>
      <x:c r="B653" s="51" t="n">
        <x:v>8</x:v>
      </x:c>
      <x:c r="C653" s="17" t="str">
        <x:v>Event detail</x:v>
      </x:c>
      <x:c r="D653" s="20" t="str">
        <x:v>C08E02 Tessa: geometry.passes_through_creature_wall_or_restraint</x:v>
      </x:c>
      <x:c r="E653" s="59" t="b">
        <x:v>0</x:v>
      </x:c>
      <x:c r="F653" s="20" t="str">
        <x:v>Planned</x:v>
      </x:c>
    </x:row>
    <x:row r="654" ht="32" customHeight="1">
      <x:c r="A654" s="2" t="str">
        <x:v>F647</x:v>
      </x:c>
      <x:c r="B654" s="50" t="n">
        <x:v>8</x:v>
      </x:c>
      <x:c r="C654" s="2" t="str">
        <x:v>Event detail</x:v>
      </x:c>
      <x:c r="D654" s="19" t="str">
        <x:v>C08E02 Tessa: geometry.carries_another_adult</x:v>
      </x:c>
      <x:c r="E654" s="58" t="b">
        <x:v>0</x:v>
      </x:c>
      <x:c r="F654" s="19" t="str">
        <x:v>Planned</x:v>
      </x:c>
    </x:row>
    <x:row r="655" ht="32" customHeight="1">
      <x:c r="A655" s="17" t="str">
        <x:v>F648</x:v>
      </x:c>
      <x:c r="B655" s="51" t="n">
        <x:v>8</x:v>
      </x:c>
      <x:c r="C655" s="17" t="str">
        <x:v>Event detail</x:v>
      </x:c>
      <x:c r="D655" s="20" t="str">
        <x:v>C08E02 Tessa: geometry.crosses_otherwise_impossible_gap</x:v>
      </x:c>
      <x:c r="E655" s="59" t="b">
        <x:v>0</x:v>
      </x:c>
      <x:c r="F655" s="20" t="str">
        <x:v>Planned</x:v>
      </x:c>
    </x:row>
    <x:row r="656" ht="32" customHeight="1">
      <x:c r="A656" s="2" t="str">
        <x:v>F649</x:v>
      </x:c>
      <x:c r="B656" s="50" t="n">
        <x:v>8</x:v>
      </x:c>
      <x:c r="C656" s="2" t="str">
        <x:v>Event detail</x:v>
      </x:c>
      <x:c r="D656" s="19" t="str">
        <x:v>C08E02 Tessa: geometry.hazard_immunity_assumed</x:v>
      </x:c>
      <x:c r="E656" s="58" t="b">
        <x:v>0</x:v>
      </x:c>
      <x:c r="F656" s="19" t="str">
        <x:v>Planned</x:v>
      </x:c>
    </x:row>
    <x:row r="657" ht="28" customHeight="1">
      <x:c r="A657" s="17" t="str">
        <x:v>F650</x:v>
      </x:c>
      <x:c r="B657" s="51" t="n">
        <x:v>8</x:v>
      </x:c>
      <x:c r="C657" s="17" t="str">
        <x:v>Event detail</x:v>
      </x:c>
      <x:c r="D657" s="20" t="str">
        <x:v>C08E03 Dane: target</x:v>
      </x:c>
      <x:c r="E657" s="20" t="str">
        <x:v>front of evacuation</x:v>
      </x:c>
      <x:c r="F657" s="20" t="str">
        <x:v>Planned</x:v>
      </x:c>
    </x:row>
    <x:row r="658" ht="32" customHeight="1">
      <x:c r="A658" s="2" t="str">
        <x:v>F651</x:v>
      </x:c>
      <x:c r="B658" s="50" t="n">
        <x:v>8</x:v>
      </x:c>
      <x:c r="C658" s="2" t="str">
        <x:v>Event detail</x:v>
      </x:c>
      <x:c r="D658" s="19" t="str">
        <x:v>C08E03 Dane: geometry.weapon_raised_in_right_hand</x:v>
      </x:c>
      <x:c r="E658" s="58" t="b">
        <x:v>1</x:v>
      </x:c>
      <x:c r="F658" s="19" t="str">
        <x:v>Planned</x:v>
      </x:c>
    </x:row>
    <x:row r="659" ht="28" customHeight="1">
      <x:c r="A659" s="17" t="str">
        <x:v>F652</x:v>
      </x:c>
      <x:c r="B659" s="51" t="n">
        <x:v>8</x:v>
      </x:c>
      <x:c r="C659" s="17" t="str">
        <x:v>Event detail</x:v>
      </x:c>
      <x:c r="D659" s="20" t="str">
        <x:v>C08E03 Dane: geometry.effect_seconds</x:v>
      </x:c>
      <x:c r="E659" s="61" t="n">
        <x:v>8</x:v>
      </x:c>
      <x:c r="F659" s="20" t="str">
        <x:v>Planned</x:v>
      </x:c>
    </x:row>
    <x:row r="660" ht="32" customHeight="1">
      <x:c r="A660" s="2" t="str">
        <x:v>F653</x:v>
      </x:c>
      <x:c r="B660" s="50" t="n">
        <x:v>8</x:v>
      </x:c>
      <x:c r="C660" s="2" t="str">
        <x:v>Event detail</x:v>
      </x:c>
      <x:c r="D660" s="19" t="str">
        <x:v>C08E03 Dane: geometry.physical_attack_crosses_front</x:v>
      </x:c>
      <x:c r="E660" s="58" t="b">
        <x:v>1</x:v>
      </x:c>
      <x:c r="F660" s="19" t="str">
        <x:v>Planned</x:v>
      </x:c>
    </x:row>
    <x:row r="661" ht="32" customHeight="1">
      <x:c r="A661" s="17" t="str">
        <x:v>F654</x:v>
      </x:c>
      <x:c r="B661" s="51" t="n">
        <x:v>8</x:v>
      </x:c>
      <x:c r="C661" s="17" t="str">
        <x:v>Event detail</x:v>
      </x:c>
      <x:c r="D661" s="20" t="str">
        <x:v>C08E03 Dane: geometry.runs_or_attacks_during_effect</x:v>
      </x:c>
      <x:c r="E661" s="59" t="b">
        <x:v>0</x:v>
      </x:c>
      <x:c r="F661" s="20" t="str">
        <x:v>Planned</x:v>
      </x:c>
    </x:row>
    <x:row r="662" ht="32" customHeight="1">
      <x:c r="A662" s="2" t="str">
        <x:v>F655</x:v>
      </x:c>
      <x:c r="B662" s="50" t="n">
        <x:v>8</x:v>
      </x:c>
      <x:c r="C662" s="2" t="str">
        <x:v>Event detail</x:v>
      </x:c>
      <x:c r="D662" s="19" t="str">
        <x:v>C08E03 Dane: geometry.blocks_heat_poison_or_suffocation</x:v>
      </x:c>
      <x:c r="E662" s="58" t="b">
        <x:v>0</x:v>
      </x:c>
      <x:c r="F662" s="19" t="str">
        <x:v>Planned</x:v>
      </x:c>
    </x:row>
    <x:row r="663" ht="32" customHeight="1">
      <x:c r="A663" s="17" t="str">
        <x:v>F656</x:v>
      </x:c>
      <x:c r="B663" s="51" t="n">
        <x:v>8</x:v>
      </x:c>
      <x:c r="C663" s="17" t="str">
        <x:v>Event detail</x:v>
      </x:c>
      <x:c r="D663" s="20" t="str">
        <x:v>C08E03 Dane: geometry.reduced_force_still_can_hurt</x:v>
      </x:c>
      <x:c r="E663" s="59" t="b">
        <x:v>1</x:v>
      </x:c>
      <x:c r="F663" s="20" t="str">
        <x:v>Planned</x:v>
      </x:c>
    </x:row>
    <x:row r="664" ht="28" customHeight="1">
      <x:c r="A664" s="2" t="str">
        <x:v>F657</x:v>
      </x:c>
      <x:c r="B664" s="50" t="n">
        <x:v>8</x:v>
      </x:c>
      <x:c r="C664" s="2" t="str">
        <x:v>Event detail</x:v>
      </x:c>
      <x:c r="D664" s="19" t="str">
        <x:v>C08E04 Kip: target</x:v>
      </x:c>
      <x:c r="E664" s="19" t="str">
        <x:v>cistern south dart fixture</x:v>
      </x:c>
      <x:c r="F664" s="19" t="str">
        <x:v>Planned</x:v>
      </x:c>
    </x:row>
    <x:row r="665" ht="28" customHeight="1">
      <x:c r="A665" s="17" t="str">
        <x:v>F658</x:v>
      </x:c>
      <x:c r="B665" s="51" t="n">
        <x:v>8</x:v>
      </x:c>
      <x:c r="C665" s="17" t="str">
        <x:v>Event detail</x:v>
      </x:c>
      <x:c r="D665" s="20" t="str">
        <x:v>C08E04 Kip: note</x:v>
      </x:c>
      <x:c r="E665" s="20" t="str">
        <x:v>Earlier inspected at8m; now visible14m Rank2 use. No Sight range increase.</x:v>
      </x:c>
      <x:c r="F665" s="20" t="str">
        <x:v>Planned</x:v>
      </x:c>
    </x:row>
    <x:row r="666" ht="28" customHeight="1">
      <x:c r="A666" s="2" t="str">
        <x:v>F659</x:v>
      </x:c>
      <x:c r="B666" s="50" t="n">
        <x:v>8</x:v>
      </x:c>
      <x:c r="C666" s="2" t="str">
        <x:v>Event detail</x:v>
      </x:c>
      <x:c r="D666" s="19" t="str">
        <x:v>C08E04 Kip: control_seconds</x:v>
      </x:c>
      <x:c r="E666" s="60" t="n">
        <x:v>1</x:v>
      </x:c>
      <x:c r="F666" s="19" t="str">
        <x:v>Planned</x:v>
      </x:c>
    </x:row>
    <x:row r="667" ht="28" customHeight="1">
      <x:c r="A667" s="17" t="str">
        <x:v>F660</x:v>
      </x:c>
      <x:c r="B667" s="51" t="n">
        <x:v>8</x:v>
      </x:c>
      <x:c r="C667" s="17" t="str">
        <x:v>Event detail</x:v>
      </x:c>
      <x:c r="D667" s="20" t="str">
        <x:v>C08E04 Kip: geometry.distance_m</x:v>
      </x:c>
      <x:c r="E667" s="61" t="n">
        <x:v>14</x:v>
      </x:c>
      <x:c r="F667" s="20" t="str">
        <x:v>Planned</x:v>
      </x:c>
    </x:row>
    <x:row r="668" ht="32" customHeight="1">
      <x:c r="A668" s="2" t="str">
        <x:v>F661</x:v>
      </x:c>
      <x:c r="B668" s="50" t="n">
        <x:v>8</x:v>
      </x:c>
      <x:c r="C668" s="2" t="str">
        <x:v>Event detail</x:v>
      </x:c>
      <x:c r="D668" s="19" t="str">
        <x:v>C08E04 Kip: geometry.prior_sight_distance_m</x:v>
      </x:c>
      <x:c r="E668" s="60" t="n">
        <x:v>8</x:v>
      </x:c>
      <x:c r="F668" s="19" t="str">
        <x:v>Planned</x:v>
      </x:c>
    </x:row>
    <x:row r="669" ht="32" customHeight="1">
      <x:c r="A669" s="17" t="str">
        <x:v>F662</x:v>
      </x:c>
      <x:c r="B669" s="51" t="n">
        <x:v>8</x:v>
      </x:c>
      <x:c r="C669" s="17" t="str">
        <x:v>Event detail</x:v>
      </x:c>
      <x:c r="D669" s="20" t="str">
        <x:v>C08E04 Kip: geometry.prior_sight_attention_seconds</x:v>
      </x:c>
      <x:c r="E669" s="61" t="n">
        <x:v>1</x:v>
      </x:c>
      <x:c r="F669" s="20" t="str">
        <x:v>Planned</x:v>
      </x:c>
    </x:row>
    <x:row r="670" ht="28" customHeight="1">
      <x:c r="A670" s="2" t="str">
        <x:v>F663</x:v>
      </x:c>
      <x:c r="B670" s="50" t="n">
        <x:v>8</x:v>
      </x:c>
      <x:c r="C670" s="2" t="str">
        <x:v>Event detail</x:v>
      </x:c>
      <x:c r="D670" s="19" t="str">
        <x:v>C08E04 Kip: geometry.visible_at_start</x:v>
      </x:c>
      <x:c r="E670" s="58" t="b">
        <x:v>1</x:v>
      </x:c>
      <x:c r="F670" s="19" t="str">
        <x:v>Planned</x:v>
      </x:c>
    </x:row>
    <x:row r="671" ht="32" customHeight="1">
      <x:c r="A671" s="17" t="str">
        <x:v>F664</x:v>
      </x:c>
      <x:c r="B671" s="51" t="n">
        <x:v>8</x:v>
      </x:c>
      <x:c r="C671" s="17" t="str">
        <x:v>Event detail</x:v>
      </x:c>
      <x:c r="D671" s="20" t="str">
        <x:v>C08E04 Kip: geometry.available_at_start</x:v>
      </x:c>
      <x:c r="E671" s="59" t="b">
        <x:v>1</x:v>
      </x:c>
      <x:c r="F671" s="20" t="str">
        <x:v>Planned</x:v>
      </x:c>
    </x:row>
    <x:row r="672" ht="32" customHeight="1">
      <x:c r="A672" s="2" t="str">
        <x:v>F665</x:v>
      </x:c>
      <x:c r="B672" s="50" t="n">
        <x:v>8</x:v>
      </x:c>
      <x:c r="C672" s="2" t="str">
        <x:v>Event detail</x:v>
      </x:c>
      <x:c r="D672" s="19" t="str">
        <x:v>C08E04 Kip: geometry.within_normal_mechanical_arc</x:v>
      </x:c>
      <x:c r="E672" s="58" t="b">
        <x:v>1</x:v>
      </x:c>
      <x:c r="F672" s="19" t="str">
        <x:v>Planned</x:v>
      </x:c>
    </x:row>
    <x:row r="673" ht="28" customHeight="1">
      <x:c r="A673" s="17" t="str">
        <x:v>F666</x:v>
      </x:c>
      <x:c r="B673" s="51" t="n">
        <x:v>8</x:v>
      </x:c>
      <x:c r="C673" s="17" t="str">
        <x:v>Event detail</x:v>
      </x:c>
      <x:c r="D673" s="20" t="str">
        <x:v>C08E04 Kip: geometry.ready_at_start</x:v>
      </x:c>
      <x:c r="E673" s="59" t="b">
        <x:v>1</x:v>
      </x:c>
      <x:c r="F673" s="20" t="str">
        <x:v>Planned</x:v>
      </x:c>
    </x:row>
    <x:row r="674" ht="32" customHeight="1">
      <x:c r="A674" s="2" t="str">
        <x:v>F667</x:v>
      </x:c>
      <x:c r="B674" s="50" t="n">
        <x:v>8</x:v>
      </x:c>
      <x:c r="C674" s="2" t="str">
        <x:v>Event detail</x:v>
      </x:c>
      <x:c r="D674" s="19" t="str">
        <x:v>C08E04 Kip: geometry.target_is_constructed_fixture</x:v>
      </x:c>
      <x:c r="E674" s="58" t="b">
        <x:v>1</x:v>
      </x:c>
      <x:c r="F674" s="19" t="str">
        <x:v>Planned</x:v>
      </x:c>
    </x:row>
    <x:row r="675" ht="32" customHeight="1">
      <x:c r="A675" s="17" t="str">
        <x:v>F668</x:v>
      </x:c>
      <x:c r="B675" s="51" t="n">
        <x:v>8</x:v>
      </x:c>
      <x:c r="C675" s="17" t="str">
        <x:v>Event detail</x:v>
      </x:c>
      <x:c r="D675" s="20" t="str">
        <x:v>C08E04 Kip: geometry.shield_removed_physically_if_any</x:v>
      </x:c>
      <x:c r="E675" s="59" t="b">
        <x:v>1</x:v>
      </x:c>
      <x:c r="F675" s="20" t="str">
        <x:v>Planned</x:v>
      </x:c>
    </x:row>
    <x:row r="676" ht="28" customHeight="1">
      <x:c r="A676" s="2" t="str">
        <x:v>F669</x:v>
      </x:c>
      <x:c r="B676" s="50" t="n">
        <x:v>8</x:v>
      </x:c>
      <x:c r="C676" s="2" t="str">
        <x:v>Event detail</x:v>
      </x:c>
      <x:c r="D676" s="19" t="str">
        <x:v>C08E04 Kip: outcome</x:v>
      </x:c>
      <x:c r="E676" s="19" t="str">
        <x:v>ordinary legal fixture function, no strengthened output</x:v>
      </x:c>
      <x:c r="F676" s="19" t="str">
        <x:v>Planned</x:v>
      </x:c>
    </x:row>
    <x:row r="677" ht="28" customHeight="1">
      <x:c r="A677" s="17" t="str">
        <x:v>F670</x:v>
      </x:c>
      <x:c r="B677" s="51" t="n">
        <x:v>8</x:v>
      </x:c>
      <x:c r="C677" s="17" t="str">
        <x:v>Event detail</x:v>
      </x:c>
      <x:c r="D677" s="20" t="str">
        <x:v>C08E05 Kip: target</x:v>
      </x:c>
      <x:c r="E677" s="20" t="str">
        <x:v>second physical attack lane</x:v>
      </x:c>
      <x:c r="F677" s="20" t="str">
        <x:v>Planned</x:v>
      </x:c>
    </x:row>
    <x:row r="678" ht="28" customHeight="1">
      <x:c r="A678" s="2" t="str">
        <x:v>F671</x:v>
      </x:c>
      <x:c r="B678" s="50" t="n">
        <x:v>8</x:v>
      </x:c>
      <x:c r="C678" s="2" t="str">
        <x:v>Event detail</x:v>
      </x:c>
      <x:c r="D678" s="19" t="str">
        <x:v>C08E05 Kip: setup_seconds</x:v>
      </x:c>
      <x:c r="E678" s="60" t="n">
        <x:v>2</x:v>
      </x:c>
      <x:c r="F678" s="19" t="str">
        <x:v>Planned</x:v>
      </x:c>
    </x:row>
    <x:row r="679" ht="32" customHeight="1">
      <x:c r="A679" s="17" t="str">
        <x:v>F672</x:v>
      </x:c>
      <x:c r="B679" s="51" t="n">
        <x:v>8</x:v>
      </x:c>
      <x:c r="C679" s="17" t="str">
        <x:v>Event detail</x:v>
      </x:c>
      <x:c r="D679" s="20" t="str">
        <x:v>C08E05 Kip: physical_impact_seconds_after_start</x:v>
      </x:c>
      <x:c r="E679" s="61" t="n">
        <x:v>8</x:v>
      </x:c>
      <x:c r="F679" s="20" t="str">
        <x:v>Planned</x:v>
      </x:c>
    </x:row>
    <x:row r="680" ht="28" customHeight="1">
      <x:c r="A680" s="2" t="str">
        <x:v>F673</x:v>
      </x:c>
      <x:c r="B680" s="50" t="n">
        <x:v>8</x:v>
      </x:c>
      <x:c r="C680" s="2" t="str">
        <x:v>Event detail</x:v>
      </x:c>
      <x:c r="D680" s="19" t="str">
        <x:v>C08E05 Kip: geometry.clear_ground</x:v>
      </x:c>
      <x:c r="E680" s="58" t="b">
        <x:v>1</x:v>
      </x:c>
      <x:c r="F680" s="19" t="str">
        <x:v>Planned</x:v>
      </x:c>
    </x:row>
    <x:row r="681" ht="28" customHeight="1">
      <x:c r="A681" s="17" t="str">
        <x:v>F674</x:v>
      </x:c>
      <x:c r="B681" s="51" t="n">
        <x:v>8</x:v>
      </x:c>
      <x:c r="C681" s="17" t="str">
        <x:v>Event detail</x:v>
      </x:c>
      <x:c r="D681" s="20" t="str">
        <x:v>C08E05 Kip: geometry.within_3m</x:v>
      </x:c>
      <x:c r="E681" s="59" t="b">
        <x:v>1</x:v>
      </x:c>
      <x:c r="F681" s="20" t="str">
        <x:v>Planned</x:v>
      </x:c>
    </x:row>
    <x:row r="682" ht="28" customHeight="1">
      <x:c r="A682" s="2" t="str">
        <x:v>F675</x:v>
      </x:c>
      <x:c r="B682" s="50" t="n">
        <x:v>8</x:v>
      </x:c>
      <x:c r="C682" s="2" t="str">
        <x:v>Event detail</x:v>
      </x:c>
      <x:c r="D682" s="19" t="str">
        <x:v>C08E05 Kip: geometry.upright_2m_square</x:v>
      </x:c>
      <x:c r="E682" s="58" t="b">
        <x:v>1</x:v>
      </x:c>
      <x:c r="F682" s="19" t="str">
        <x:v>Planned</x:v>
      </x:c>
    </x:row>
    <x:row r="683" ht="28" customHeight="1">
      <x:c r="A683" s="17" t="str">
        <x:v>F676</x:v>
      </x:c>
      <x:c r="B683" s="51" t="n">
        <x:v>8</x:v>
      </x:c>
      <x:c r="C683" s="17" t="str">
        <x:v>Event detail</x:v>
      </x:c>
      <x:c r="D683" s="20" t="str">
        <x:v>C08E05 Kip: geometry.stationary</x:v>
      </x:c>
      <x:c r="E683" s="59" t="b">
        <x:v>1</x:v>
      </x:c>
      <x:c r="F683" s="20" t="str">
        <x:v>Planned</x:v>
      </x:c>
    </x:row>
    <x:row r="684" ht="32" customHeight="1">
      <x:c r="A684" s="2" t="str">
        <x:v>F677</x:v>
      </x:c>
      <x:c r="B684" s="50" t="n">
        <x:v>8</x:v>
      </x:c>
      <x:c r="C684" s="2" t="str">
        <x:v>Event detail</x:v>
      </x:c>
      <x:c r="D684" s="19" t="str">
        <x:v>C08E05 Kip: geometry.physical_impact_crosses_front</x:v>
      </x:c>
      <x:c r="E684" s="58" t="b">
        <x:v>1</x:v>
      </x:c>
      <x:c r="F684" s="19" t="str">
        <x:v>Planned</x:v>
      </x:c>
    </x:row>
    <x:row r="685" ht="32" customHeight="1">
      <x:c r="A685" s="17" t="str">
        <x:v>F678</x:v>
      </x:c>
      <x:c r="B685" s="51" t="n">
        <x:v>8</x:v>
      </x:c>
      <x:c r="C685" s="17" t="str">
        <x:v>Event detail</x:v>
      </x:c>
      <x:c r="D685" s="20" t="str">
        <x:v>C08E05 Kip: geometry.blocks_heat_or_water</x:v>
      </x:c>
      <x:c r="E685" s="59" t="b">
        <x:v>0</x:v>
      </x:c>
      <x:c r="F685" s="20" t="str">
        <x:v>Planned</x:v>
      </x:c>
    </x:row>
    <x:row r="686" ht="28" customHeight="1">
      <x:c r="A686" s="2" t="str">
        <x:v>F679</x:v>
      </x:c>
      <x:c r="B686" s="50" t="n">
        <x:v>8</x:v>
      </x:c>
      <x:c r="C686" s="2" t="str">
        <x:v>Event detail</x:v>
      </x:c>
      <x:c r="D686" s="19" t="str">
        <x:v>C08E06 Dane: target</x:v>
      </x:c>
      <x:c r="E686" s="19" t="str">
        <x:v>worker behind flank</x:v>
      </x:c>
      <x:c r="F686" s="19" t="str">
        <x:v>Planned</x:v>
      </x:c>
    </x:row>
    <x:row r="687" ht="32" customHeight="1">
      <x:c r="A687" s="17" t="str">
        <x:v>F680</x:v>
      </x:c>
      <x:c r="B687" s="51" t="n">
        <x:v>8</x:v>
      </x:c>
      <x:c r="C687" s="17" t="str">
        <x:v>Event detail</x:v>
      </x:c>
      <x:c r="D687" s="20" t="str">
        <x:v>C08E06 Dane: note</x:v>
      </x:c>
      <x:c r="E687" s="20" t="str">
        <x:v>Earlier Bulwark ended; no overlapping own bonus. Ward impact at09:01:38 leaves reduced force for deliberate block within three-second bonus.</x:v>
      </x:c>
      <x:c r="F687" s="20" t="str">
        <x:v>Planned</x:v>
      </x:c>
    </x:row>
    <x:row r="688" ht="28" customHeight="1">
      <x:c r="A688" s="2" t="str">
        <x:v>F681</x:v>
      </x:c>
      <x:c r="B688" s="50" t="n">
        <x:v>8</x:v>
      </x:c>
      <x:c r="C688" s="2" t="str">
        <x:v>Event detail</x:v>
      </x:c>
      <x:c r="D688" s="19" t="str">
        <x:v>C08E06 Dane: geometry.path_length_m</x:v>
      </x:c>
      <x:c r="E688" s="60" t="n">
        <x:v>6</x:v>
      </x:c>
      <x:c r="F688" s="19" t="str">
        <x:v>Planned</x:v>
      </x:c>
    </x:row>
    <x:row r="689" ht="28" customHeight="1">
      <x:c r="A689" s="17" t="str">
        <x:v>F682</x:v>
      </x:c>
      <x:c r="B689" s="51" t="n">
        <x:v>8</x:v>
      </x:c>
      <x:c r="C689" s="17" t="str">
        <x:v>Event detail</x:v>
      </x:c>
      <x:c r="D689" s="20" t="str">
        <x:v>C08E06 Dane: geometry.visible_ally</x:v>
      </x:c>
      <x:c r="E689" s="59" t="b">
        <x:v>1</x:v>
      </x:c>
      <x:c r="F689" s="20" t="str">
        <x:v>Planned</x:v>
      </x:c>
    </x:row>
    <x:row r="690" ht="32" customHeight="1">
      <x:c r="A690" s="2" t="str">
        <x:v>F683</x:v>
      </x:c>
      <x:c r="B690" s="50" t="n">
        <x:v>8</x:v>
      </x:c>
      <x:c r="C690" s="2" t="str">
        <x:v>Event detail</x:v>
      </x:c>
      <x:c r="D690" s="19" t="str">
        <x:v>C08E06 Dane: geometry.clear_physical_path</x:v>
      </x:c>
      <x:c r="E690" s="58" t="b">
        <x:v>1</x:v>
      </x:c>
      <x:c r="F690" s="19" t="str">
        <x:v>Planned</x:v>
      </x:c>
    </x:row>
    <x:row r="691" ht="32" customHeight="1">
      <x:c r="A691" s="17" t="str">
        <x:v>F684</x:v>
      </x:c>
      <x:c r="B691" s="51" t="n">
        <x:v>8</x:v>
      </x:c>
      <x:c r="C691" s="17" t="str">
        <x:v>Event detail</x:v>
      </x:c>
      <x:c r="D691" s="20" t="str">
        <x:v>C08E06 Dane: geometry.functional_weapon_in_right_hand</x:v>
      </x:c>
      <x:c r="E691" s="59" t="b">
        <x:v>1</x:v>
      </x:c>
      <x:c r="F691" s="20" t="str">
        <x:v>Planned</x:v>
      </x:c>
    </x:row>
    <x:row r="692" ht="32" customHeight="1">
      <x:c r="A692" s="2" t="str">
        <x:v>F685</x:v>
      </x:c>
      <x:c r="B692" s="50" t="n">
        <x:v>8</x:v>
      </x:c>
      <x:c r="C692" s="2" t="str">
        <x:v>Event detail</x:v>
      </x:c>
      <x:c r="D692" s="19" t="str">
        <x:v>C08E06 Dane: geometry.uses_enhanced_block</x:v>
      </x:c>
      <x:c r="E692" s="58" t="b">
        <x:v>1</x:v>
      </x:c>
      <x:c r="F692" s="19" t="str">
        <x:v>Planned</x:v>
      </x:c>
    </x:row>
    <x:row r="693" ht="32" customHeight="1">
      <x:c r="A693" s="17" t="str">
        <x:v>F686</x:v>
      </x:c>
      <x:c r="B693" s="51" t="n">
        <x:v>8</x:v>
      </x:c>
      <x:c r="C693" s="17" t="str">
        <x:v>Event detail</x:v>
      </x:c>
      <x:c r="D693" s="20" t="str">
        <x:v>C08E06 Dane: geometry.block_seconds_after_activation</x:v>
      </x:c>
      <x:c r="E693" s="61" t="n">
        <x:v>2</x:v>
      </x:c>
      <x:c r="F693" s="20" t="str">
        <x:v>Planned</x:v>
      </x:c>
    </x:row>
    <x:row r="694" ht="32" customHeight="1">
      <x:c r="A694" s="2" t="str">
        <x:v>F687</x:v>
      </x:c>
      <x:c r="B694" s="50" t="n">
        <x:v>8</x:v>
      </x:c>
      <x:c r="C694" s="2" t="str">
        <x:v>Event detail</x:v>
      </x:c>
      <x:c r="D694" s="19" t="str">
        <x:v>C08E06 Dane: geometry.parryable_physical_attack</x:v>
      </x:c>
      <x:c r="E694" s="58" t="b">
        <x:v>1</x:v>
      </x:c>
      <x:c r="F694" s="19" t="str">
        <x:v>Planned</x:v>
      </x:c>
    </x:row>
    <x:row r="695" ht="32" customHeight="1">
      <x:c r="A695" s="17" t="str">
        <x:v>F688</x:v>
      </x:c>
      <x:c r="B695" s="51" t="n">
        <x:v>8</x:v>
      </x:c>
      <x:c r="C695" s="17" t="str">
        <x:v>Event detail</x:v>
      </x:c>
      <x:c r="D695" s="20" t="str">
        <x:v>C08E06 Dane: geometry.all_direction_protection_assumed</x:v>
      </x:c>
      <x:c r="E695" s="59" t="b">
        <x:v>0</x:v>
      </x:c>
      <x:c r="F695" s="20" t="str">
        <x:v>Planned</x:v>
      </x:c>
    </x:row>
    <x:row r="696" ht="28" customHeight="1">
      <x:c r="A696" s="2" t="str">
        <x:v>F689</x:v>
      </x:c>
      <x:c r="B696" s="50" t="n">
        <x:v>8</x:v>
      </x:c>
      <x:c r="C696" s="2" t="str">
        <x:v>Event detail</x:v>
      </x:c>
      <x:c r="D696" s="19" t="str">
        <x:v>C08E07 Owen: target</x:v>
      </x:c>
      <x:c r="E696" s="19" t="str">
        <x:v>rope-hauler 8cm/0.4cm flank cut</x:v>
      </x:c>
      <x:c r="F696" s="19" t="str">
        <x:v>Planned</x:v>
      </x:c>
    </x:row>
    <x:row r="697" ht="28" customHeight="1">
      <x:c r="A697" s="17" t="str">
        <x:v>F690</x:v>
      </x:c>
      <x:c r="B697" s="51" t="n">
        <x:v>8</x:v>
      </x:c>
      <x:c r="C697" s="17" t="str">
        <x:v>Event detail</x:v>
      </x:c>
      <x:c r="D697" s="20" t="str">
        <x:v>C08E07 Owen: note</x:v>
      </x:c>
      <x:c r="E697" s="20" t="str">
        <x:v>Five-second contact; clean dressing supports seal through retreat.</x:v>
      </x:c>
      <x:c r="F697" s="20" t="str">
        <x:v>Planned</x:v>
      </x:c>
    </x:row>
    <x:row r="698" ht="28" customHeight="1">
      <x:c r="A698" s="2" t="str">
        <x:v>F691</x:v>
      </x:c>
      <x:c r="B698" s="50" t="n">
        <x:v>8</x:v>
      </x:c>
      <x:c r="C698" s="2" t="str">
        <x:v>Event detail</x:v>
      </x:c>
      <x:c r="D698" s="19" t="str">
        <x:v>C08E07 Owen: geometry.wound_length_cm</x:v>
      </x:c>
      <x:c r="E698" s="60" t="n">
        <x:v>8</x:v>
      </x:c>
      <x:c r="F698" s="19" t="str">
        <x:v>Planned</x:v>
      </x:c>
    </x:row>
    <x:row r="699" ht="28" customHeight="1">
      <x:c r="A699" s="17" t="str">
        <x:v>F692</x:v>
      </x:c>
      <x:c r="B699" s="51" t="n">
        <x:v>8</x:v>
      </x:c>
      <x:c r="C699" s="17" t="str">
        <x:v>Event detail</x:v>
      </x:c>
      <x:c r="D699" s="20" t="str">
        <x:v>C08E07 Owen: geometry.wound_depth_cm</x:v>
      </x:c>
      <x:c r="E699" s="62" t="n">
        <x:v>0.4</x:v>
      </x:c>
      <x:c r="F699" s="20" t="str">
        <x:v>Planned</x:v>
      </x:c>
    </x:row>
    <x:row r="700" ht="28" customHeight="1">
      <x:c r="A700" s="2" t="str">
        <x:v>F693</x:v>
      </x:c>
      <x:c r="B700" s="50" t="n">
        <x:v>8</x:v>
      </x:c>
      <x:c r="C700" s="2" t="str">
        <x:v>Event detail</x:v>
      </x:c>
      <x:c r="D700" s="19" t="str">
        <x:v>C08E07 Owen: geometry.external_wound</x:v>
      </x:c>
      <x:c r="E700" s="58" t="b">
        <x:v>1</x:v>
      </x:c>
      <x:c r="F700" s="19" t="str">
        <x:v>Planned</x:v>
      </x:c>
    </x:row>
    <x:row r="701" ht="32" customHeight="1">
      <x:c r="A701" s="17" t="str">
        <x:v>F694</x:v>
      </x:c>
      <x:c r="B701" s="51" t="n">
        <x:v>8</x:v>
      </x:c>
      <x:c r="C701" s="17" t="str">
        <x:v>Event detail</x:v>
      </x:c>
      <x:c r="D701" s="20" t="str">
        <x:v>C08E07 Owen: geometry.tissue_present_and_aligned</x:v>
      </x:c>
      <x:c r="E701" s="59" t="b">
        <x:v>1</x:v>
      </x:c>
      <x:c r="F701" s="20" t="str">
        <x:v>Planned</x:v>
      </x:c>
    </x:row>
    <x:row r="702" ht="32" customHeight="1">
      <x:c r="A702" s="2" t="str">
        <x:v>F695</x:v>
      </x:c>
      <x:c r="B702" s="50" t="n">
        <x:v>8</x:v>
      </x:c>
      <x:c r="C702" s="2" t="str">
        <x:v>Event detail</x:v>
      </x:c>
      <x:c r="D702" s="19" t="str">
        <x:v>C08E07 Owen: geometry.uninterrupted_touch_seconds</x:v>
      </x:c>
      <x:c r="E702" s="60" t="n">
        <x:v>5</x:v>
      </x:c>
      <x:c r="F702" s="19" t="str">
        <x:v>Planned</x:v>
      </x:c>
    </x:row>
    <x:row r="703" ht="32" customHeight="1">
      <x:c r="A703" s="17" t="str">
        <x:v>F696</x:v>
      </x:c>
      <x:c r="B703" s="51" t="n">
        <x:v>8</x:v>
      </x:c>
      <x:c r="C703" s="17" t="str">
        <x:v>Event detail</x:v>
      </x:c>
      <x:c r="D703" s="20" t="str">
        <x:v>C08E07 Owen: geometry.repairs_bone_blood_organs_or_nerves</x:v>
      </x:c>
      <x:c r="E703" s="59" t="b">
        <x:v>0</x:v>
      </x:c>
      <x:c r="F703" s="20" t="str">
        <x:v>Planned</x:v>
      </x:c>
    </x:row>
    <x:row r="704" ht="32" customHeight="1">
      <x:c r="A704" s="2" t="str">
        <x:v>F697</x:v>
      </x:c>
      <x:c r="B704" s="50" t="n">
        <x:v>8</x:v>
      </x:c>
      <x:c r="C704" s="2" t="str">
        <x:v>Event detail</x:v>
      </x:c>
      <x:c r="D704" s="19" t="str">
        <x:v>C08E07 Owen: geometry.protected_position_for_channel_required_in_prose</x:v>
      </x:c>
      <x:c r="E704" s="58" t="b">
        <x:v>1</x:v>
      </x:c>
      <x:c r="F704" s="19" t="str">
        <x:v>Planned</x:v>
      </x:c>
    </x:row>
    <x:row r="705" ht="28" customHeight="1">
      <x:c r="A705" s="17" t="str">
        <x:v>F698</x:v>
      </x:c>
      <x:c r="B705" s="51" t="n">
        <x:v>9</x:v>
      </x:c>
      <x:c r="C705" s="17" t="str">
        <x:v>Event detail</x:v>
      </x:c>
      <x:c r="D705" s="20" t="str">
        <x:v>C09E01 Tessa: target</x:v>
      </x:c>
      <x:c r="E705" s="20" t="str">
        <x:v>fresh shelter approach traces</x:v>
      </x:c>
      <x:c r="F705" s="20" t="str">
        <x:v>Planned</x:v>
      </x:c>
    </x:row>
    <x:row r="706" ht="32" customHeight="1">
      <x:c r="A706" s="2" t="str">
        <x:v>F699</x:v>
      </x:c>
      <x:c r="B706" s="50" t="n">
        <x:v>9</x:v>
      </x:c>
      <x:c r="C706" s="2" t="str">
        <x:v>Event detail</x:v>
      </x:c>
      <x:c r="D706" s="19" t="str">
        <x:v>C09E01 Tessa: geometry.physical_track_inspected</x:v>
      </x:c>
      <x:c r="E706" s="58" t="b">
        <x:v>1</x:v>
      </x:c>
      <x:c r="F706" s="19" t="str">
        <x:v>Planned</x:v>
      </x:c>
    </x:row>
    <x:row r="707" ht="32" customHeight="1">
      <x:c r="A707" s="17" t="str">
        <x:v>F700</x:v>
      </x:c>
      <x:c r="B707" s="51" t="n">
        <x:v>9</x:v>
      </x:c>
      <x:c r="C707" s="17" t="str">
        <x:v>Event detail</x:v>
      </x:c>
      <x:c r="D707" s="20" t="str">
        <x:v>C09E01 Tessa: geometry.oldest_trace_minutes</x:v>
      </x:c>
      <x:c r="E707" s="61" t="n">
        <x:v>60</x:v>
      </x:c>
      <x:c r="F707" s="20" t="str">
        <x:v>Planned</x:v>
      </x:c>
    </x:row>
    <x:row r="708" ht="28" customHeight="1">
      <x:c r="A708" s="2" t="str">
        <x:v>F701</x:v>
      </x:c>
      <x:c r="B708" s="50" t="n">
        <x:v>9</x:v>
      </x:c>
      <x:c r="C708" s="2" t="str">
        <x:v>Event detail</x:v>
      </x:c>
      <x:c r="D708" s="19" t="str">
        <x:v>C09E01 Tessa: geometry.radius_m</x:v>
      </x:c>
      <x:c r="E708" s="60" t="n">
        <x:v>25</x:v>
      </x:c>
      <x:c r="F708" s="19" t="str">
        <x:v>Planned</x:v>
      </x:c>
    </x:row>
    <x:row r="709" ht="32" customHeight="1">
      <x:c r="A709" s="17" t="str">
        <x:v>F702</x:v>
      </x:c>
      <x:c r="B709" s="51" t="n">
        <x:v>9</x:v>
      </x:c>
      <x:c r="C709" s="17" t="str">
        <x:v>Event detail</x:v>
      </x:c>
      <x:c r="D709" s="20" t="str">
        <x:v>C09E01 Tessa: geometry.trace_visible_line_of_sight</x:v>
      </x:c>
      <x:c r="E709" s="59" t="b">
        <x:v>1</x:v>
      </x:c>
      <x:c r="F709" s="20" t="str">
        <x:v>Planned</x:v>
      </x:c>
    </x:row>
    <x:row r="710" ht="32" customHeight="1">
      <x:c r="A710" s="2" t="str">
        <x:v>F703</x:v>
      </x:c>
      <x:c r="B710" s="50" t="n">
        <x:v>9</x:v>
      </x:c>
      <x:c r="C710" s="2" t="str">
        <x:v>Event detail</x:v>
      </x:c>
      <x:c r="D710" s="19" t="str">
        <x:v>C09E01 Tessa: geometry.reveals_current_person_location_or_mind</x:v>
      </x:c>
      <x:c r="E710" s="58" t="b">
        <x:v>0</x:v>
      </x:c>
      <x:c r="F710" s="19" t="str">
        <x:v>Planned</x:v>
      </x:c>
    </x:row>
    <x:row r="711" ht="28" customHeight="1">
      <x:c r="A711" s="17" t="str">
        <x:v>F704</x:v>
      </x:c>
      <x:c r="B711" s="51" t="n">
        <x:v>9</x:v>
      </x:c>
      <x:c r="C711" s="17" t="str">
        <x:v>Event detail</x:v>
      </x:c>
      <x:c r="D711" s="20" t="str">
        <x:v>C09E02 Kip: target</x:v>
      </x:c>
      <x:c r="E711" s="20" t="str">
        <x:v>horizontal waterborne beam lane</x:v>
      </x:c>
      <x:c r="F711" s="20" t="str">
        <x:v>Planned</x:v>
      </x:c>
    </x:row>
    <x:row r="712" ht="28" customHeight="1">
      <x:c r="A712" s="2" t="str">
        <x:v>F705</x:v>
      </x:c>
      <x:c r="B712" s="50" t="n">
        <x:v>9</x:v>
      </x:c>
      <x:c r="C712" s="2" t="str">
        <x:v>Event detail</x:v>
      </x:c>
      <x:c r="D712" s="19" t="str">
        <x:v>C09E02 Kip: note</x:v>
      </x:c>
      <x:c r="E712" s="19" t="str">
        <x:v>Beam hits front while worker crosses; water itself is not blocked.</x:v>
      </x:c>
      <x:c r="F712" s="19" t="str">
        <x:v>Planned</x:v>
      </x:c>
    </x:row>
    <x:row r="713" ht="28" customHeight="1">
      <x:c r="A713" s="17" t="str">
        <x:v>F706</x:v>
      </x:c>
      <x:c r="B713" s="51" t="n">
        <x:v>9</x:v>
      </x:c>
      <x:c r="C713" s="17" t="str">
        <x:v>Event detail</x:v>
      </x:c>
      <x:c r="D713" s="20" t="str">
        <x:v>C09E02 Kip: setup_seconds</x:v>
      </x:c>
      <x:c r="E713" s="61" t="n">
        <x:v>2</x:v>
      </x:c>
      <x:c r="F713" s="20" t="str">
        <x:v>Planned</x:v>
      </x:c>
    </x:row>
    <x:row r="714" ht="32" customHeight="1">
      <x:c r="A714" s="2" t="str">
        <x:v>F707</x:v>
      </x:c>
      <x:c r="B714" s="50" t="n">
        <x:v>9</x:v>
      </x:c>
      <x:c r="C714" s="2" t="str">
        <x:v>Event detail</x:v>
      </x:c>
      <x:c r="D714" s="19" t="str">
        <x:v>C09E02 Kip: physical_impact_seconds_after_start</x:v>
      </x:c>
      <x:c r="E714" s="60" t="n">
        <x:v>8</x:v>
      </x:c>
      <x:c r="F714" s="19" t="str">
        <x:v>Planned</x:v>
      </x:c>
    </x:row>
    <x:row r="715" ht="28" customHeight="1">
      <x:c r="A715" s="17" t="str">
        <x:v>F708</x:v>
      </x:c>
      <x:c r="B715" s="51" t="n">
        <x:v>9</x:v>
      </x:c>
      <x:c r="C715" s="17" t="str">
        <x:v>Event detail</x:v>
      </x:c>
      <x:c r="D715" s="20" t="str">
        <x:v>C09E02 Kip: geometry.clear_ground</x:v>
      </x:c>
      <x:c r="E715" s="59" t="b">
        <x:v>1</x:v>
      </x:c>
      <x:c r="F715" s="20" t="str">
        <x:v>Planned</x:v>
      </x:c>
    </x:row>
    <x:row r="716" ht="28" customHeight="1">
      <x:c r="A716" s="2" t="str">
        <x:v>F709</x:v>
      </x:c>
      <x:c r="B716" s="50" t="n">
        <x:v>9</x:v>
      </x:c>
      <x:c r="C716" s="2" t="str">
        <x:v>Event detail</x:v>
      </x:c>
      <x:c r="D716" s="19" t="str">
        <x:v>C09E02 Kip: geometry.within_3m</x:v>
      </x:c>
      <x:c r="E716" s="58" t="b">
        <x:v>1</x:v>
      </x:c>
      <x:c r="F716" s="19" t="str">
        <x:v>Planned</x:v>
      </x:c>
    </x:row>
    <x:row r="717" ht="28" customHeight="1">
      <x:c r="A717" s="17" t="str">
        <x:v>F710</x:v>
      </x:c>
      <x:c r="B717" s="51" t="n">
        <x:v>9</x:v>
      </x:c>
      <x:c r="C717" s="17" t="str">
        <x:v>Event detail</x:v>
      </x:c>
      <x:c r="D717" s="20" t="str">
        <x:v>C09E02 Kip: geometry.upright_2m_square</x:v>
      </x:c>
      <x:c r="E717" s="59" t="b">
        <x:v>1</x:v>
      </x:c>
      <x:c r="F717" s="20" t="str">
        <x:v>Planned</x:v>
      </x:c>
    </x:row>
    <x:row r="718" ht="28" customHeight="1">
      <x:c r="A718" s="2" t="str">
        <x:v>F711</x:v>
      </x:c>
      <x:c r="B718" s="50" t="n">
        <x:v>9</x:v>
      </x:c>
      <x:c r="C718" s="2" t="str">
        <x:v>Event detail</x:v>
      </x:c>
      <x:c r="D718" s="19" t="str">
        <x:v>C09E02 Kip: geometry.stationary</x:v>
      </x:c>
      <x:c r="E718" s="58" t="b">
        <x:v>1</x:v>
      </x:c>
      <x:c r="F718" s="19" t="str">
        <x:v>Planned</x:v>
      </x:c>
    </x:row>
    <x:row r="719" ht="32" customHeight="1">
      <x:c r="A719" s="17" t="str">
        <x:v>F712</x:v>
      </x:c>
      <x:c r="B719" s="51" t="n">
        <x:v>9</x:v>
      </x:c>
      <x:c r="C719" s="17" t="str">
        <x:v>Event detail</x:v>
      </x:c>
      <x:c r="D719" s="20" t="str">
        <x:v>C09E02 Kip: geometry.physical_impact_crosses_front</x:v>
      </x:c>
      <x:c r="E719" s="59" t="b">
        <x:v>1</x:v>
      </x:c>
      <x:c r="F719" s="20" t="str">
        <x:v>Planned</x:v>
      </x:c>
    </x:row>
    <x:row r="720" ht="32" customHeight="1">
      <x:c r="A720" s="2" t="str">
        <x:v>F713</x:v>
      </x:c>
      <x:c r="B720" s="50" t="n">
        <x:v>9</x:v>
      </x:c>
      <x:c r="C720" s="2" t="str">
        <x:v>Event detail</x:v>
      </x:c>
      <x:c r="D720" s="19" t="str">
        <x:v>C09E02 Kip: geometry.blocks_heat_or_water</x:v>
      </x:c>
      <x:c r="E720" s="58" t="b">
        <x:v>0</x:v>
      </x:c>
      <x:c r="F720" s="19" t="str">
        <x:v>Planned</x:v>
      </x:c>
    </x:row>
    <x:row r="721" ht="28" customHeight="1">
      <x:c r="A721" s="17" t="str">
        <x:v>F714</x:v>
      </x:c>
      <x:c r="B721" s="51" t="n">
        <x:v>9</x:v>
      </x:c>
      <x:c r="C721" s="17" t="str">
        <x:v>Event detail</x:v>
      </x:c>
      <x:c r="D721" s="20" t="str">
        <x:v>C09E03 Dane: target</x:v>
      </x:c>
      <x:c r="E721" s="20" t="str">
        <x:v>worker beside crossing</x:v>
      </x:c>
      <x:c r="F721" s="20" t="str">
        <x:v>Planned</x:v>
      </x:c>
    </x:row>
    <x:row r="722" ht="32" customHeight="1">
      <x:c r="A722" s="2" t="str">
        <x:v>F715</x:v>
      </x:c>
      <x:c r="B722" s="50" t="n">
        <x:v>9</x:v>
      </x:c>
      <x:c r="C722" s="2" t="str">
        <x:v>Event detail</x:v>
      </x:c>
      <x:c r="D722" s="19" t="str">
        <x:v>C09E03 Dane: note</x:v>
      </x:c>
      <x:c r="E722" s="19" t="str">
        <x:v>Enhanced deliberate parry at09:30:08 meets the already Ward-slowed broken branch within three seconds. No parry of the whole stream.</x:v>
      </x:c>
      <x:c r="F722" s="19" t="str">
        <x:v>Planned</x:v>
      </x:c>
    </x:row>
    <x:row r="723" ht="28" customHeight="1">
      <x:c r="A723" s="17" t="str">
        <x:v>F716</x:v>
      </x:c>
      <x:c r="B723" s="51" t="n">
        <x:v>9</x:v>
      </x:c>
      <x:c r="C723" s="17" t="str">
        <x:v>Event detail</x:v>
      </x:c>
      <x:c r="D723" s="20" t="str">
        <x:v>C09E03 Dane: geometry.path_length_m</x:v>
      </x:c>
      <x:c r="E723" s="61" t="n">
        <x:v>6</x:v>
      </x:c>
      <x:c r="F723" s="20" t="str">
        <x:v>Planned</x:v>
      </x:c>
    </x:row>
    <x:row r="724" ht="28" customHeight="1">
      <x:c r="A724" s="2" t="str">
        <x:v>F717</x:v>
      </x:c>
      <x:c r="B724" s="50" t="n">
        <x:v>9</x:v>
      </x:c>
      <x:c r="C724" s="2" t="str">
        <x:v>Event detail</x:v>
      </x:c>
      <x:c r="D724" s="19" t="str">
        <x:v>C09E03 Dane: geometry.visible_ally</x:v>
      </x:c>
      <x:c r="E724" s="58" t="b">
        <x:v>1</x:v>
      </x:c>
      <x:c r="F724" s="19" t="str">
        <x:v>Planned</x:v>
      </x:c>
    </x:row>
    <x:row r="725" ht="32" customHeight="1">
      <x:c r="A725" s="17" t="str">
        <x:v>F718</x:v>
      </x:c>
      <x:c r="B725" s="51" t="n">
        <x:v>9</x:v>
      </x:c>
      <x:c r="C725" s="17" t="str">
        <x:v>Event detail</x:v>
      </x:c>
      <x:c r="D725" s="20" t="str">
        <x:v>C09E03 Dane: geometry.clear_physical_path</x:v>
      </x:c>
      <x:c r="E725" s="59" t="b">
        <x:v>1</x:v>
      </x:c>
      <x:c r="F725" s="20" t="str">
        <x:v>Planned</x:v>
      </x:c>
    </x:row>
    <x:row r="726" ht="32" customHeight="1">
      <x:c r="A726" s="2" t="str">
        <x:v>F719</x:v>
      </x:c>
      <x:c r="B726" s="50" t="n">
        <x:v>9</x:v>
      </x:c>
      <x:c r="C726" s="2" t="str">
        <x:v>Event detail</x:v>
      </x:c>
      <x:c r="D726" s="19" t="str">
        <x:v>C09E03 Dane: geometry.functional_weapon_in_right_hand</x:v>
      </x:c>
      <x:c r="E726" s="58" t="b">
        <x:v>1</x:v>
      </x:c>
      <x:c r="F726" s="19" t="str">
        <x:v>Planned</x:v>
      </x:c>
    </x:row>
    <x:row r="727" ht="32" customHeight="1">
      <x:c r="A727" s="17" t="str">
        <x:v>F720</x:v>
      </x:c>
      <x:c r="B727" s="51" t="n">
        <x:v>9</x:v>
      </x:c>
      <x:c r="C727" s="17" t="str">
        <x:v>Event detail</x:v>
      </x:c>
      <x:c r="D727" s="20" t="str">
        <x:v>C09E03 Dane: geometry.uses_enhanced_block</x:v>
      </x:c>
      <x:c r="E727" s="59" t="b">
        <x:v>1</x:v>
      </x:c>
      <x:c r="F727" s="20" t="str">
        <x:v>Planned</x:v>
      </x:c>
    </x:row>
    <x:row r="728" ht="32" customHeight="1">
      <x:c r="A728" s="2" t="str">
        <x:v>F721</x:v>
      </x:c>
      <x:c r="B728" s="50" t="n">
        <x:v>9</x:v>
      </x:c>
      <x:c r="C728" s="2" t="str">
        <x:v>Event detail</x:v>
      </x:c>
      <x:c r="D728" s="19" t="str">
        <x:v>C09E03 Dane: geometry.block_seconds_after_activation</x:v>
      </x:c>
      <x:c r="E728" s="60" t="n">
        <x:v>2</x:v>
      </x:c>
      <x:c r="F728" s="19" t="str">
        <x:v>Planned</x:v>
      </x:c>
    </x:row>
    <x:row r="729" ht="32" customHeight="1">
      <x:c r="A729" s="17" t="str">
        <x:v>F722</x:v>
      </x:c>
      <x:c r="B729" s="51" t="n">
        <x:v>9</x:v>
      </x:c>
      <x:c r="C729" s="17" t="str">
        <x:v>Event detail</x:v>
      </x:c>
      <x:c r="D729" s="20" t="str">
        <x:v>C09E03 Dane: geometry.parryable_physical_attack</x:v>
      </x:c>
      <x:c r="E729" s="59" t="b">
        <x:v>1</x:v>
      </x:c>
      <x:c r="F729" s="20" t="str">
        <x:v>Planned</x:v>
      </x:c>
    </x:row>
    <x:row r="730" ht="32" customHeight="1">
      <x:c r="A730" s="2" t="str">
        <x:v>F723</x:v>
      </x:c>
      <x:c r="B730" s="50" t="n">
        <x:v>9</x:v>
      </x:c>
      <x:c r="C730" s="2" t="str">
        <x:v>Event detail</x:v>
      </x:c>
      <x:c r="D730" s="19" t="str">
        <x:v>C09E03 Dane: geometry.all_direction_protection_assumed</x:v>
      </x:c>
      <x:c r="E730" s="58" t="b">
        <x:v>0</x:v>
      </x:c>
      <x:c r="F730" s="19" t="str">
        <x:v>Planned</x:v>
      </x:c>
    </x:row>
    <x:row r="731" ht="28" customHeight="1">
      <x:c r="A731" s="17" t="str">
        <x:v>F724</x:v>
      </x:c>
      <x:c r="B731" s="51" t="n">
        <x:v>9</x:v>
      </x:c>
      <x:c r="C731" s="17" t="str">
        <x:v>Event detail</x:v>
      </x:c>
      <x:c r="D731" s="20" t="str">
        <x:v>C09E04 Owen: target</x:v>
      </x:c>
      <x:c r="E731" s="20" t="str">
        <x:v>rope-hauler flank cut from chapter8</x:v>
      </x:c>
      <x:c r="F731" s="20" t="str">
        <x:v>Planned</x:v>
      </x:c>
    </x:row>
    <x:row r="732" ht="28" customHeight="1">
      <x:c r="A732" s="2" t="str">
        <x:v>F725</x:v>
      </x:c>
      <x:c r="B732" s="50" t="n">
        <x:v>9</x:v>
      </x:c>
      <x:c r="C732" s="2" t="str">
        <x:v>Event detail</x:v>
      </x:c>
      <x:c r="D732" s="19" t="str">
        <x:v>C09E04 Owen: note</x:v>
      </x:c>
      <x:c r="E732" s="19" t="str">
        <x:v>Repair before40-minute Staunch expiry; no repeatXP for individual wound.</x:v>
      </x:c>
      <x:c r="F732" s="19" t="str">
        <x:v>Planned</x:v>
      </x:c>
    </x:row>
    <x:row r="733" ht="28" customHeight="1">
      <x:c r="A733" s="17" t="str">
        <x:v>F726</x:v>
      </x:c>
      <x:c r="B733" s="51" t="n">
        <x:v>9</x:v>
      </x:c>
      <x:c r="C733" s="17" t="str">
        <x:v>Event detail</x:v>
      </x:c>
      <x:c r="D733" s="20" t="str">
        <x:v>C09E04 Owen: geometry.wound_length_cm</x:v>
      </x:c>
      <x:c r="E733" s="61" t="n">
        <x:v>8</x:v>
      </x:c>
      <x:c r="F733" s="20" t="str">
        <x:v>Planned</x:v>
      </x:c>
    </x:row>
    <x:row r="734" ht="28" customHeight="1">
      <x:c r="A734" s="2" t="str">
        <x:v>F727</x:v>
      </x:c>
      <x:c r="B734" s="50" t="n">
        <x:v>9</x:v>
      </x:c>
      <x:c r="C734" s="2" t="str">
        <x:v>Event detail</x:v>
      </x:c>
      <x:c r="D734" s="19" t="str">
        <x:v>C09E04 Owen: geometry.wound_depth_cm</x:v>
      </x:c>
      <x:c r="E734" s="63" t="n">
        <x:v>0.4</x:v>
      </x:c>
      <x:c r="F734" s="19" t="str">
        <x:v>Planned</x:v>
      </x:c>
    </x:row>
    <x:row r="735" ht="28" customHeight="1">
      <x:c r="A735" s="17" t="str">
        <x:v>F728</x:v>
      </x:c>
      <x:c r="B735" s="51" t="n">
        <x:v>9</x:v>
      </x:c>
      <x:c r="C735" s="17" t="str">
        <x:v>Event detail</x:v>
      </x:c>
      <x:c r="D735" s="20" t="str">
        <x:v>C09E04 Owen: geometry.external_wound</x:v>
      </x:c>
      <x:c r="E735" s="59" t="b">
        <x:v>1</x:v>
      </x:c>
      <x:c r="F735" s="20" t="str">
        <x:v>Planned</x:v>
      </x:c>
    </x:row>
    <x:row r="736" ht="32" customHeight="1">
      <x:c r="A736" s="2" t="str">
        <x:v>F729</x:v>
      </x:c>
      <x:c r="B736" s="50" t="n">
        <x:v>9</x:v>
      </x:c>
      <x:c r="C736" s="2" t="str">
        <x:v>Event detail</x:v>
      </x:c>
      <x:c r="D736" s="19" t="str">
        <x:v>C09E04 Owen: geometry.tissue_present_and_aligned</x:v>
      </x:c>
      <x:c r="E736" s="58" t="b">
        <x:v>1</x:v>
      </x:c>
      <x:c r="F736" s="19" t="str">
        <x:v>Planned</x:v>
      </x:c>
    </x:row>
    <x:row r="737" ht="32" customHeight="1">
      <x:c r="A737" s="17" t="str">
        <x:v>F730</x:v>
      </x:c>
      <x:c r="B737" s="51" t="n">
        <x:v>9</x:v>
      </x:c>
      <x:c r="C737" s="17" t="str">
        <x:v>Event detail</x:v>
      </x:c>
      <x:c r="D737" s="20" t="str">
        <x:v>C09E04 Owen: geometry.uninterrupted_touch_seconds</x:v>
      </x:c>
      <x:c r="E737" s="61" t="n">
        <x:v>20</x:v>
      </x:c>
      <x:c r="F737" s="20" t="str">
        <x:v>Planned</x:v>
      </x:c>
    </x:row>
    <x:row r="738" ht="32" customHeight="1">
      <x:c r="A738" s="2" t="str">
        <x:v>F731</x:v>
      </x:c>
      <x:c r="B738" s="50" t="n">
        <x:v>9</x:v>
      </x:c>
      <x:c r="C738" s="2" t="str">
        <x:v>Event detail</x:v>
      </x:c>
      <x:c r="D738" s="19" t="str">
        <x:v>C09E04 Owen: geometry.repairs_bone_blood_organs_or_nerves</x:v>
      </x:c>
      <x:c r="E738" s="58" t="b">
        <x:v>0</x:v>
      </x:c>
      <x:c r="F738" s="19" t="str">
        <x:v>Planned</x:v>
      </x:c>
    </x:row>
    <x:row r="739" ht="32" customHeight="1">
      <x:c r="A739" s="17" t="str">
        <x:v>F732</x:v>
      </x:c>
      <x:c r="B739" s="51" t="n">
        <x:v>9</x:v>
      </x:c>
      <x:c r="C739" s="17" t="str">
        <x:v>Event detail</x:v>
      </x:c>
      <x:c r="D739" s="20" t="str">
        <x:v>C09E04 Owen: geometry.protected_position_for_channel_required_in_prose</x:v>
      </x:c>
      <x:c r="E739" s="59" t="b">
        <x:v>1</x:v>
      </x:c>
      <x:c r="F739" s="20" t="str">
        <x:v>Planned</x:v>
      </x:c>
    </x:row>
    <x:row r="740" ht="28" customHeight="1">
      <x:c r="A740" s="2" t="str">
        <x:v>F733</x:v>
      </x:c>
      <x:c r="B740" s="50" t="n">
        <x:v>9</x:v>
      </x:c>
      <x:c r="C740" s="2" t="str">
        <x:v>Event detail</x:v>
      </x:c>
      <x:c r="D740" s="19" t="str">
        <x:v>C09E06 Kip: note</x:v>
      </x:c>
      <x:c r="E740" s="19" t="str">
        <x:v>Protected, seated, no casting/movement/attack; another awake person keeps watch.</x:v>
      </x:c>
      <x:c r="F740" s="19" t="str">
        <x:v>Planned</x:v>
      </x:c>
    </x:row>
    <x:row r="741" ht="28" customHeight="1">
      <x:c r="A741" s="17" t="str">
        <x:v>F734</x:v>
      </x:c>
      <x:c r="B741" s="51" t="n">
        <x:v>9</x:v>
      </x:c>
      <x:c r="C741" s="17" t="str">
        <x:v>Event detail</x:v>
      </x:c>
      <x:c r="D741" s="20" t="str">
        <x:v>C09E06 Kip: ends</x:v>
      </x:c>
      <x:c r="E741" s="20" t="str">
        <x:v>Day 2 10:11:00</x:v>
      </x:c>
      <x:c r="F741" s="20" t="str">
        <x:v>Planned</x:v>
      </x:c>
    </x:row>
    <x:row r="742" ht="28" customHeight="1">
      <x:c r="A742" s="2" t="str">
        <x:v>F735</x:v>
      </x:c>
      <x:c r="B742" s="50" t="n">
        <x:v>9</x:v>
      </x:c>
      <x:c r="C742" s="2" t="str">
        <x:v>Event detail</x:v>
      </x:c>
      <x:c r="D742" s="19" t="str">
        <x:v>C09E07 Tessa: note</x:v>
      </x:c>
      <x:c r="E742" s="19" t="str">
        <x:v>Protected, seated, no casting/movement/attack; another awake person keeps watch.</x:v>
      </x:c>
      <x:c r="F742" s="19" t="str">
        <x:v>Planned</x:v>
      </x:c>
    </x:row>
    <x:row r="743" ht="28" customHeight="1">
      <x:c r="A743" s="17" t="str">
        <x:v>F736</x:v>
      </x:c>
      <x:c r="B743" s="51" t="n">
        <x:v>9</x:v>
      </x:c>
      <x:c r="C743" s="17" t="str">
        <x:v>Event detail</x:v>
      </x:c>
      <x:c r="D743" s="20" t="str">
        <x:v>C09E07 Tessa: ends</x:v>
      </x:c>
      <x:c r="E743" s="20" t="str">
        <x:v>Day 2 10:05:00</x:v>
      </x:c>
      <x:c r="F743" s="20" t="str">
        <x:v>Planned</x:v>
      </x:c>
    </x:row>
    <x:row r="744" ht="28" customHeight="1">
      <x:c r="A744" s="2" t="str">
        <x:v>F737</x:v>
      </x:c>
      <x:c r="B744" s="50" t="n">
        <x:v>9</x:v>
      </x:c>
      <x:c r="C744" s="2" t="str">
        <x:v>Event detail</x:v>
      </x:c>
      <x:c r="D744" s="19" t="str">
        <x:v>C09E08 Owen: note</x:v>
      </x:c>
      <x:c r="E744" s="19" t="str">
        <x:v>Protected, seated, no casting/movement/attack; another awake person keeps watch.</x:v>
      </x:c>
      <x:c r="F744" s="19" t="str">
        <x:v>Planned</x:v>
      </x:c>
    </x:row>
    <x:row r="745" ht="28" customHeight="1">
      <x:c r="A745" s="17" t="str">
        <x:v>F738</x:v>
      </x:c>
      <x:c r="B745" s="51" t="n">
        <x:v>9</x:v>
      </x:c>
      <x:c r="C745" s="17" t="str">
        <x:v>Event detail</x:v>
      </x:c>
      <x:c r="D745" s="20" t="str">
        <x:v>C09E08 Owen: ends</x:v>
      </x:c>
      <x:c r="E745" s="20" t="str">
        <x:v>Day 2 10:06:00</x:v>
      </x:c>
      <x:c r="F745" s="20" t="str">
        <x:v>Planned</x:v>
      </x:c>
    </x:row>
    <x:row r="746" ht="28" customHeight="1">
      <x:c r="A746" s="2" t="str">
        <x:v>F739</x:v>
      </x:c>
      <x:c r="B746" s="50" t="n">
        <x:v>9</x:v>
      </x:c>
      <x:c r="C746" s="2" t="str">
        <x:v>Event detail</x:v>
      </x:c>
      <x:c r="D746" s="19" t="str">
        <x:v>C09E09 Dane: note</x:v>
      </x:c>
      <x:c r="E746" s="19" t="str">
        <x:v>Protected, seated, no casting/movement/attack; another awake person keeps watch.</x:v>
      </x:c>
      <x:c r="F746" s="19" t="str">
        <x:v>Planned</x:v>
      </x:c>
    </x:row>
    <x:row r="747" ht="28" customHeight="1">
      <x:c r="A747" s="17" t="str">
        <x:v>F740</x:v>
      </x:c>
      <x:c r="B747" s="51" t="n">
        <x:v>9</x:v>
      </x:c>
      <x:c r="C747" s="17" t="str">
        <x:v>Event detail</x:v>
      </x:c>
      <x:c r="D747" s="20" t="str">
        <x:v>C09E09 Dane: ends</x:v>
      </x:c>
      <x:c r="E747" s="20" t="str">
        <x:v>Day 2 10:22:00</x:v>
      </x:c>
      <x:c r="F747" s="20" t="str">
        <x:v>Planned</x:v>
      </x:c>
    </x:row>
    <x:row r="748" ht="28" customHeight="1">
      <x:c r="A748" s="2" t="str">
        <x:v>F741</x:v>
      </x:c>
      <x:c r="B748" s="50" t="n">
        <x:v>10</x:v>
      </x:c>
      <x:c r="C748" s="2" t="str">
        <x:v>Event detail</x:v>
      </x:c>
      <x:c r="D748" s="19" t="str">
        <x:v>C10E01 Tessa: target</x:v>
      </x:c>
      <x:c r="E748" s="19" t="str">
        <x:v>swimming scavenger traces above waterline</x:v>
      </x:c>
      <x:c r="F748" s="19" t="str">
        <x:v>Planned</x:v>
      </x:c>
    </x:row>
    <x:row r="749" ht="32" customHeight="1">
      <x:c r="A749" s="17" t="str">
        <x:v>F742</x:v>
      </x:c>
      <x:c r="B749" s="51" t="n">
        <x:v>10</x:v>
      </x:c>
      <x:c r="C749" s="17" t="str">
        <x:v>Event detail</x:v>
      </x:c>
      <x:c r="D749" s="20" t="str">
        <x:v>C10E01 Tessa: geometry.physical_track_inspected</x:v>
      </x:c>
      <x:c r="E749" s="59" t="b">
        <x:v>1</x:v>
      </x:c>
      <x:c r="F749" s="20" t="str">
        <x:v>Planned</x:v>
      </x:c>
    </x:row>
    <x:row r="750" ht="32" customHeight="1">
      <x:c r="A750" s="2" t="str">
        <x:v>F743</x:v>
      </x:c>
      <x:c r="B750" s="50" t="n">
        <x:v>10</x:v>
      </x:c>
      <x:c r="C750" s="2" t="str">
        <x:v>Event detail</x:v>
      </x:c>
      <x:c r="D750" s="19" t="str">
        <x:v>C10E01 Tessa: geometry.oldest_trace_minutes</x:v>
      </x:c>
      <x:c r="E750" s="60" t="n">
        <x:v>60</x:v>
      </x:c>
      <x:c r="F750" s="19" t="str">
        <x:v>Planned</x:v>
      </x:c>
    </x:row>
    <x:row r="751" ht="28" customHeight="1">
      <x:c r="A751" s="17" t="str">
        <x:v>F744</x:v>
      </x:c>
      <x:c r="B751" s="51" t="n">
        <x:v>10</x:v>
      </x:c>
      <x:c r="C751" s="17" t="str">
        <x:v>Event detail</x:v>
      </x:c>
      <x:c r="D751" s="20" t="str">
        <x:v>C10E01 Tessa: geometry.radius_m</x:v>
      </x:c>
      <x:c r="E751" s="61" t="n">
        <x:v>25</x:v>
      </x:c>
      <x:c r="F751" s="20" t="str">
        <x:v>Planned</x:v>
      </x:c>
    </x:row>
    <x:row r="752" ht="32" customHeight="1">
      <x:c r="A752" s="2" t="str">
        <x:v>F745</x:v>
      </x:c>
      <x:c r="B752" s="50" t="n">
        <x:v>10</x:v>
      </x:c>
      <x:c r="C752" s="2" t="str">
        <x:v>Event detail</x:v>
      </x:c>
      <x:c r="D752" s="19" t="str">
        <x:v>C10E01 Tessa: geometry.trace_visible_line_of_sight</x:v>
      </x:c>
      <x:c r="E752" s="58" t="b">
        <x:v>1</x:v>
      </x:c>
      <x:c r="F752" s="19" t="str">
        <x:v>Planned</x:v>
      </x:c>
    </x:row>
    <x:row r="753" ht="32" customHeight="1">
      <x:c r="A753" s="17" t="str">
        <x:v>F746</x:v>
      </x:c>
      <x:c r="B753" s="51" t="n">
        <x:v>10</x:v>
      </x:c>
      <x:c r="C753" s="17" t="str">
        <x:v>Event detail</x:v>
      </x:c>
      <x:c r="D753" s="20" t="str">
        <x:v>C10E01 Tessa: geometry.reveals_current_person_location_or_mind</x:v>
      </x:c>
      <x:c r="E753" s="59" t="b">
        <x:v>0</x:v>
      </x:c>
      <x:c r="F753" s="20" t="str">
        <x:v>Planned</x:v>
      </x:c>
    </x:row>
    <x:row r="754" ht="28" customHeight="1">
      <x:c r="A754" s="2" t="str">
        <x:v>F747</x:v>
      </x:c>
      <x:c r="B754" s="50" t="n">
        <x:v>10</x:v>
      </x:c>
      <x:c r="C754" s="2" t="str">
        <x:v>Event detail</x:v>
      </x:c>
      <x:c r="D754" s="19" t="str">
        <x:v>C10E02 Tessa: target</x:v>
      </x:c>
      <x:c r="E754" s="19" t="str">
        <x:v>visible dry ledge</x:v>
      </x:c>
      <x:c r="F754" s="19" t="str">
        <x:v>Planned</x:v>
      </x:c>
    </x:row>
    <x:row r="755" ht="28" customHeight="1">
      <x:c r="A755" s="17" t="str">
        <x:v>F748</x:v>
      </x:c>
      <x:c r="B755" s="51" t="n">
        <x:v>10</x:v>
      </x:c>
      <x:c r="C755" s="17" t="str">
        <x:v>Event detail</x:v>
      </x:c>
      <x:c r="D755" s="20" t="str">
        <x:v>C10E02 Tessa: geometry.path_length_m</x:v>
      </x:c>
      <x:c r="E755" s="61" t="n">
        <x:v>8</x:v>
      </x:c>
      <x:c r="F755" s="20" t="str">
        <x:v>Planned</x:v>
      </x:c>
    </x:row>
    <x:row r="756" ht="32" customHeight="1">
      <x:c r="A756" s="2" t="str">
        <x:v>F749</x:v>
      </x:c>
      <x:c r="B756" s="50" t="n">
        <x:v>10</x:v>
      </x:c>
      <x:c r="C756" s="2" t="str">
        <x:v>Event detail</x:v>
      </x:c>
      <x:c r="D756" s="19" t="str">
        <x:v>C10E02 Tessa: geometry.visible_traversable_physical_path</x:v>
      </x:c>
      <x:c r="E756" s="58" t="b">
        <x:v>1</x:v>
      </x:c>
      <x:c r="F756" s="19" t="str">
        <x:v>Planned</x:v>
      </x:c>
    </x:row>
    <x:row r="757" ht="32" customHeight="1">
      <x:c r="A757" s="17" t="str">
        <x:v>F750</x:v>
      </x:c>
      <x:c r="B757" s="51" t="n">
        <x:v>10</x:v>
      </x:c>
      <x:c r="C757" s="17" t="str">
        <x:v>Event detail</x:v>
      </x:c>
      <x:c r="D757" s="20" t="str">
        <x:v>C10E02 Tessa: geometry.passes_through_creature_wall_or_restraint</x:v>
      </x:c>
      <x:c r="E757" s="59" t="b">
        <x:v>0</x:v>
      </x:c>
      <x:c r="F757" s="20" t="str">
        <x:v>Planned</x:v>
      </x:c>
    </x:row>
    <x:row r="758" ht="32" customHeight="1">
      <x:c r="A758" s="2" t="str">
        <x:v>F751</x:v>
      </x:c>
      <x:c r="B758" s="50" t="n">
        <x:v>10</x:v>
      </x:c>
      <x:c r="C758" s="2" t="str">
        <x:v>Event detail</x:v>
      </x:c>
      <x:c r="D758" s="19" t="str">
        <x:v>C10E02 Tessa: geometry.carries_another_adult</x:v>
      </x:c>
      <x:c r="E758" s="58" t="b">
        <x:v>0</x:v>
      </x:c>
      <x:c r="F758" s="19" t="str">
        <x:v>Planned</x:v>
      </x:c>
    </x:row>
    <x:row r="759" ht="32" customHeight="1">
      <x:c r="A759" s="17" t="str">
        <x:v>F752</x:v>
      </x:c>
      <x:c r="B759" s="51" t="n">
        <x:v>10</x:v>
      </x:c>
      <x:c r="C759" s="17" t="str">
        <x:v>Event detail</x:v>
      </x:c>
      <x:c r="D759" s="20" t="str">
        <x:v>C10E02 Tessa: geometry.crosses_otherwise_impossible_gap</x:v>
      </x:c>
      <x:c r="E759" s="59" t="b">
        <x:v>0</x:v>
      </x:c>
      <x:c r="F759" s="20" t="str">
        <x:v>Planned</x:v>
      </x:c>
    </x:row>
    <x:row r="760" ht="32" customHeight="1">
      <x:c r="A760" s="2" t="str">
        <x:v>F753</x:v>
      </x:c>
      <x:c r="B760" s="50" t="n">
        <x:v>10</x:v>
      </x:c>
      <x:c r="C760" s="2" t="str">
        <x:v>Event detail</x:v>
      </x:c>
      <x:c r="D760" s="19" t="str">
        <x:v>C10E02 Tessa: geometry.hazard_immunity_assumed</x:v>
      </x:c>
      <x:c r="E760" s="58" t="b">
        <x:v>0</x:v>
      </x:c>
      <x:c r="F760" s="19" t="str">
        <x:v>Planned</x:v>
      </x:c>
    </x:row>
    <x:row r="761" ht="28" customHeight="1">
      <x:c r="A761" s="17" t="str">
        <x:v>F754</x:v>
      </x:c>
      <x:c r="B761" s="51" t="n">
        <x:v>10</x:v>
      </x:c>
      <x:c r="C761" s="17" t="str">
        <x:v>Event detail</x:v>
      </x:c>
      <x:c r="D761" s="20" t="str">
        <x:v>C10E03 Kip: target</x:v>
      </x:c>
      <x:c r="E761" s="20" t="str">
        <x:v>archive defensive bolt fixture</x:v>
      </x:c>
      <x:c r="F761" s="20" t="str">
        <x:v>Planned</x:v>
      </x:c>
    </x:row>
    <x:row r="762" ht="28" customHeight="1">
      <x:c r="A762" s="2" t="str">
        <x:v>F755</x:v>
      </x:c>
      <x:c r="B762" s="50" t="n">
        <x:v>10</x:v>
      </x:c>
      <x:c r="C762" s="2" t="str">
        <x:v>Event detail</x:v>
      </x:c>
      <x:c r="D762" s="19" t="str">
        <x:v>C10E03 Kip: note</x:v>
      </x:c>
      <x:c r="E762" s="19" t="str">
        <x:v>Inspected earlier at8m; maintained sight while withdrawing to14m; normal firing arc.</x:v>
      </x:c>
      <x:c r="F762" s="19" t="str">
        <x:v>Planned</x:v>
      </x:c>
    </x:row>
    <x:row r="763" ht="28" customHeight="1">
      <x:c r="A763" s="17" t="str">
        <x:v>F756</x:v>
      </x:c>
      <x:c r="B763" s="51" t="n">
        <x:v>10</x:v>
      </x:c>
      <x:c r="C763" s="17" t="str">
        <x:v>Event detail</x:v>
      </x:c>
      <x:c r="D763" s="20" t="str">
        <x:v>C10E03 Kip: control_seconds</x:v>
      </x:c>
      <x:c r="E763" s="61" t="n">
        <x:v>1</x:v>
      </x:c>
      <x:c r="F763" s="20" t="str">
        <x:v>Planned</x:v>
      </x:c>
    </x:row>
    <x:row r="764" ht="28" customHeight="1">
      <x:c r="A764" s="2" t="str">
        <x:v>F757</x:v>
      </x:c>
      <x:c r="B764" s="50" t="n">
        <x:v>10</x:v>
      </x:c>
      <x:c r="C764" s="2" t="str">
        <x:v>Event detail</x:v>
      </x:c>
      <x:c r="D764" s="19" t="str">
        <x:v>C10E03 Kip: geometry.distance_m</x:v>
      </x:c>
      <x:c r="E764" s="60" t="n">
        <x:v>14</x:v>
      </x:c>
      <x:c r="F764" s="19" t="str">
        <x:v>Planned</x:v>
      </x:c>
    </x:row>
    <x:row r="765" ht="32" customHeight="1">
      <x:c r="A765" s="17" t="str">
        <x:v>F758</x:v>
      </x:c>
      <x:c r="B765" s="51" t="n">
        <x:v>10</x:v>
      </x:c>
      <x:c r="C765" s="17" t="str">
        <x:v>Event detail</x:v>
      </x:c>
      <x:c r="D765" s="20" t="str">
        <x:v>C10E03 Kip: geometry.prior_sight_distance_m</x:v>
      </x:c>
      <x:c r="E765" s="61" t="n">
        <x:v>8</x:v>
      </x:c>
      <x:c r="F765" s="20" t="str">
        <x:v>Planned</x:v>
      </x:c>
    </x:row>
    <x:row r="766" ht="32" customHeight="1">
      <x:c r="A766" s="2" t="str">
        <x:v>F759</x:v>
      </x:c>
      <x:c r="B766" s="50" t="n">
        <x:v>10</x:v>
      </x:c>
      <x:c r="C766" s="2" t="str">
        <x:v>Event detail</x:v>
      </x:c>
      <x:c r="D766" s="19" t="str">
        <x:v>C10E03 Kip: geometry.prior_sight_attention_seconds</x:v>
      </x:c>
      <x:c r="E766" s="60" t="n">
        <x:v>1</x:v>
      </x:c>
      <x:c r="F766" s="19" t="str">
        <x:v>Planned</x:v>
      </x:c>
    </x:row>
    <x:row r="767" ht="28" customHeight="1">
      <x:c r="A767" s="17" t="str">
        <x:v>F760</x:v>
      </x:c>
      <x:c r="B767" s="51" t="n">
        <x:v>10</x:v>
      </x:c>
      <x:c r="C767" s="17" t="str">
        <x:v>Event detail</x:v>
      </x:c>
      <x:c r="D767" s="20" t="str">
        <x:v>C10E03 Kip: geometry.visible_at_start</x:v>
      </x:c>
      <x:c r="E767" s="59" t="b">
        <x:v>1</x:v>
      </x:c>
      <x:c r="F767" s="20" t="str">
        <x:v>Planned</x:v>
      </x:c>
    </x:row>
    <x:row r="768" ht="32" customHeight="1">
      <x:c r="A768" s="2" t="str">
        <x:v>F761</x:v>
      </x:c>
      <x:c r="B768" s="50" t="n">
        <x:v>10</x:v>
      </x:c>
      <x:c r="C768" s="2" t="str">
        <x:v>Event detail</x:v>
      </x:c>
      <x:c r="D768" s="19" t="str">
        <x:v>C10E03 Kip: geometry.available_at_start</x:v>
      </x:c>
      <x:c r="E768" s="58" t="b">
        <x:v>1</x:v>
      </x:c>
      <x:c r="F768" s="19" t="str">
        <x:v>Planned</x:v>
      </x:c>
    </x:row>
    <x:row r="769" ht="32" customHeight="1">
      <x:c r="A769" s="17" t="str">
        <x:v>F762</x:v>
      </x:c>
      <x:c r="B769" s="51" t="n">
        <x:v>10</x:v>
      </x:c>
      <x:c r="C769" s="17" t="str">
        <x:v>Event detail</x:v>
      </x:c>
      <x:c r="D769" s="20" t="str">
        <x:v>C10E03 Kip: geometry.within_normal_mechanical_arc</x:v>
      </x:c>
      <x:c r="E769" s="59" t="b">
        <x:v>1</x:v>
      </x:c>
      <x:c r="F769" s="20" t="str">
        <x:v>Planned</x:v>
      </x:c>
    </x:row>
    <x:row r="770" ht="28" customHeight="1">
      <x:c r="A770" s="2" t="str">
        <x:v>F763</x:v>
      </x:c>
      <x:c r="B770" s="50" t="n">
        <x:v>10</x:v>
      </x:c>
      <x:c r="C770" s="2" t="str">
        <x:v>Event detail</x:v>
      </x:c>
      <x:c r="D770" s="19" t="str">
        <x:v>C10E03 Kip: geometry.ready_at_start</x:v>
      </x:c>
      <x:c r="E770" s="58" t="b">
        <x:v>1</x:v>
      </x:c>
      <x:c r="F770" s="19" t="str">
        <x:v>Planned</x:v>
      </x:c>
    </x:row>
    <x:row r="771" ht="32" customHeight="1">
      <x:c r="A771" s="17" t="str">
        <x:v>F764</x:v>
      </x:c>
      <x:c r="B771" s="51" t="n">
        <x:v>10</x:v>
      </x:c>
      <x:c r="C771" s="17" t="str">
        <x:v>Event detail</x:v>
      </x:c>
      <x:c r="D771" s="20" t="str">
        <x:v>C10E03 Kip: geometry.target_is_constructed_fixture</x:v>
      </x:c>
      <x:c r="E771" s="59" t="b">
        <x:v>1</x:v>
      </x:c>
      <x:c r="F771" s="20" t="str">
        <x:v>Planned</x:v>
      </x:c>
    </x:row>
    <x:row r="772" ht="32" customHeight="1">
      <x:c r="A772" s="2" t="str">
        <x:v>F765</x:v>
      </x:c>
      <x:c r="B772" s="50" t="n">
        <x:v>10</x:v>
      </x:c>
      <x:c r="C772" s="2" t="str">
        <x:v>Event detail</x:v>
      </x:c>
      <x:c r="D772" s="19" t="str">
        <x:v>C10E03 Kip: geometry.shield_removed_physically_if_any</x:v>
      </x:c>
      <x:c r="E772" s="58" t="b">
        <x:v>1</x:v>
      </x:c>
      <x:c r="F772" s="19" t="str">
        <x:v>Planned</x:v>
      </x:c>
    </x:row>
    <x:row r="773" ht="28" customHeight="1">
      <x:c r="A773" s="17" t="str">
        <x:v>F766</x:v>
      </x:c>
      <x:c r="B773" s="51" t="n">
        <x:v>10</x:v>
      </x:c>
      <x:c r="C773" s="17" t="str">
        <x:v>Event detail</x:v>
      </x:c>
      <x:c r="D773" s="20" t="str">
        <x:v>C10E03 Kip: outcome</x:v>
      </x:c>
      <x:c r="E773" s="20" t="str">
        <x:v>ordinary legal fixture function, no strengthened output</x:v>
      </x:c>
      <x:c r="F773" s="20" t="str">
        <x:v>Planned</x:v>
      </x:c>
    </x:row>
    <x:row r="774" ht="28" customHeight="1">
      <x:c r="A774" s="2" t="str">
        <x:v>F767</x:v>
      </x:c>
      <x:c r="B774" s="50" t="n">
        <x:v>10</x:v>
      </x:c>
      <x:c r="C774" s="2" t="str">
        <x:v>Event detail</x:v>
      </x:c>
      <x:c r="D774" s="19" t="str">
        <x:v>C10E04 Dane: target</x:v>
      </x:c>
      <x:c r="E774" s="19" t="str">
        <x:v>guardian lunge lane</x:v>
      </x:c>
      <x:c r="F774" s="19" t="str">
        <x:v>Planned</x:v>
      </x:c>
    </x:row>
    <x:row r="775" ht="32" customHeight="1">
      <x:c r="A775" s="17" t="str">
        <x:v>F768</x:v>
      </x:c>
      <x:c r="B775" s="51" t="n">
        <x:v>10</x:v>
      </x:c>
      <x:c r="C775" s="17" t="str">
        <x:v>Event detail</x:v>
      </x:c>
      <x:c r="D775" s="20" t="str">
        <x:v>C10E04 Dane: geometry.weapon_raised_in_right_hand</x:v>
      </x:c>
      <x:c r="E775" s="59" t="b">
        <x:v>1</x:v>
      </x:c>
      <x:c r="F775" s="20" t="str">
        <x:v>Planned</x:v>
      </x:c>
    </x:row>
    <x:row r="776" ht="28" customHeight="1">
      <x:c r="A776" s="2" t="str">
        <x:v>F769</x:v>
      </x:c>
      <x:c r="B776" s="50" t="n">
        <x:v>10</x:v>
      </x:c>
      <x:c r="C776" s="2" t="str">
        <x:v>Event detail</x:v>
      </x:c>
      <x:c r="D776" s="19" t="str">
        <x:v>C10E04 Dane: geometry.effect_seconds</x:v>
      </x:c>
      <x:c r="E776" s="60" t="n">
        <x:v>8</x:v>
      </x:c>
      <x:c r="F776" s="19" t="str">
        <x:v>Planned</x:v>
      </x:c>
    </x:row>
    <x:row r="777" ht="32" customHeight="1">
      <x:c r="A777" s="17" t="str">
        <x:v>F770</x:v>
      </x:c>
      <x:c r="B777" s="51" t="n">
        <x:v>10</x:v>
      </x:c>
      <x:c r="C777" s="17" t="str">
        <x:v>Event detail</x:v>
      </x:c>
      <x:c r="D777" s="20" t="str">
        <x:v>C10E04 Dane: geometry.physical_attack_crosses_front</x:v>
      </x:c>
      <x:c r="E777" s="59" t="b">
        <x:v>1</x:v>
      </x:c>
      <x:c r="F777" s="20" t="str">
        <x:v>Planned</x:v>
      </x:c>
    </x:row>
    <x:row r="778" ht="32" customHeight="1">
      <x:c r="A778" s="2" t="str">
        <x:v>F771</x:v>
      </x:c>
      <x:c r="B778" s="50" t="n">
        <x:v>10</x:v>
      </x:c>
      <x:c r="C778" s="2" t="str">
        <x:v>Event detail</x:v>
      </x:c>
      <x:c r="D778" s="19" t="str">
        <x:v>C10E04 Dane: geometry.runs_or_attacks_during_effect</x:v>
      </x:c>
      <x:c r="E778" s="58" t="b">
        <x:v>0</x:v>
      </x:c>
      <x:c r="F778" s="19" t="str">
        <x:v>Planned</x:v>
      </x:c>
    </x:row>
    <x:row r="779" ht="32" customHeight="1">
      <x:c r="A779" s="17" t="str">
        <x:v>F772</x:v>
      </x:c>
      <x:c r="B779" s="51" t="n">
        <x:v>10</x:v>
      </x:c>
      <x:c r="C779" s="17" t="str">
        <x:v>Event detail</x:v>
      </x:c>
      <x:c r="D779" s="20" t="str">
        <x:v>C10E04 Dane: geometry.blocks_heat_poison_or_suffocation</x:v>
      </x:c>
      <x:c r="E779" s="59" t="b">
        <x:v>0</x:v>
      </x:c>
      <x:c r="F779" s="20" t="str">
        <x:v>Planned</x:v>
      </x:c>
    </x:row>
    <x:row r="780" ht="32" customHeight="1">
      <x:c r="A780" s="2" t="str">
        <x:v>F773</x:v>
      </x:c>
      <x:c r="B780" s="50" t="n">
        <x:v>10</x:v>
      </x:c>
      <x:c r="C780" s="2" t="str">
        <x:v>Event detail</x:v>
      </x:c>
      <x:c r="D780" s="19" t="str">
        <x:v>C10E04 Dane: geometry.reduced_force_still_can_hurt</x:v>
      </x:c>
      <x:c r="E780" s="58" t="b">
        <x:v>1</x:v>
      </x:c>
      <x:c r="F780" s="19" t="str">
        <x:v>Planned</x:v>
      </x:c>
    </x:row>
    <x:row r="781" ht="28" customHeight="1">
      <x:c r="A781" s="17" t="str">
        <x:v>F774</x:v>
      </x:c>
      <x:c r="B781" s="51" t="n">
        <x:v>10</x:v>
      </x:c>
      <x:c r="C781" s="17" t="str">
        <x:v>Event detail</x:v>
      </x:c>
      <x:c r="D781" s="20" t="str">
        <x:v>C10E05 Kip: target</x:v>
      </x:c>
      <x:c r="E781" s="20" t="str">
        <x:v>same guardian lunge lane</x:v>
      </x:c>
      <x:c r="F781" s="20" t="str">
        <x:v>Planned</x:v>
      </x:c>
    </x:row>
    <x:row r="782" ht="28" customHeight="1">
      <x:c r="A782" s="2" t="str">
        <x:v>F775</x:v>
      </x:c>
      <x:c r="B782" s="50" t="n">
        <x:v>10</x:v>
      </x:c>
      <x:c r="C782" s="2" t="str">
        <x:v>Event detail</x:v>
      </x:c>
      <x:c r="D782" s="19" t="str">
        <x:v>C10E05 Kip: note</x:v>
      </x:c>
      <x:c r="E782" s="19" t="str">
        <x:v>Forms20:08, impact20:10 through Bulwark then Ward. Quarter force still knocks Dane down.</x:v>
      </x:c>
      <x:c r="F782" s="19" t="str">
        <x:v>Planned</x:v>
      </x:c>
    </x:row>
    <x:row r="783" ht="28" customHeight="1">
      <x:c r="A783" s="17" t="str">
        <x:v>F776</x:v>
      </x:c>
      <x:c r="B783" s="51" t="n">
        <x:v>10</x:v>
      </x:c>
      <x:c r="C783" s="17" t="str">
        <x:v>Event detail</x:v>
      </x:c>
      <x:c r="D783" s="20" t="str">
        <x:v>C10E05 Kip: setup_seconds</x:v>
      </x:c>
      <x:c r="E783" s="61" t="n">
        <x:v>2</x:v>
      </x:c>
      <x:c r="F783" s="20" t="str">
        <x:v>Planned</x:v>
      </x:c>
    </x:row>
    <x:row r="784" ht="32" customHeight="1">
      <x:c r="A784" s="2" t="str">
        <x:v>F777</x:v>
      </x:c>
      <x:c r="B784" s="50" t="n">
        <x:v>10</x:v>
      </x:c>
      <x:c r="C784" s="2" t="str">
        <x:v>Event detail</x:v>
      </x:c>
      <x:c r="D784" s="19" t="str">
        <x:v>C10E05 Kip: physical_impact_seconds_after_start</x:v>
      </x:c>
      <x:c r="E784" s="60" t="n">
        <x:v>4</x:v>
      </x:c>
      <x:c r="F784" s="19" t="str">
        <x:v>Planned</x:v>
      </x:c>
    </x:row>
    <x:row r="785" ht="28" customHeight="1">
      <x:c r="A785" s="17" t="str">
        <x:v>F778</x:v>
      </x:c>
      <x:c r="B785" s="51" t="n">
        <x:v>10</x:v>
      </x:c>
      <x:c r="C785" s="17" t="str">
        <x:v>Event detail</x:v>
      </x:c>
      <x:c r="D785" s="20" t="str">
        <x:v>C10E05 Kip: geometry.clear_ground</x:v>
      </x:c>
      <x:c r="E785" s="59" t="b">
        <x:v>1</x:v>
      </x:c>
      <x:c r="F785" s="20" t="str">
        <x:v>Planned</x:v>
      </x:c>
    </x:row>
    <x:row r="786" ht="28" customHeight="1">
      <x:c r="A786" s="2" t="str">
        <x:v>F779</x:v>
      </x:c>
      <x:c r="B786" s="50" t="n">
        <x:v>10</x:v>
      </x:c>
      <x:c r="C786" s="2" t="str">
        <x:v>Event detail</x:v>
      </x:c>
      <x:c r="D786" s="19" t="str">
        <x:v>C10E05 Kip: geometry.within_3m</x:v>
      </x:c>
      <x:c r="E786" s="58" t="b">
        <x:v>1</x:v>
      </x:c>
      <x:c r="F786" s="19" t="str">
        <x:v>Planned</x:v>
      </x:c>
    </x:row>
    <x:row r="787" ht="28" customHeight="1">
      <x:c r="A787" s="17" t="str">
        <x:v>F780</x:v>
      </x:c>
      <x:c r="B787" s="51" t="n">
        <x:v>10</x:v>
      </x:c>
      <x:c r="C787" s="17" t="str">
        <x:v>Event detail</x:v>
      </x:c>
      <x:c r="D787" s="20" t="str">
        <x:v>C10E05 Kip: geometry.upright_2m_square</x:v>
      </x:c>
      <x:c r="E787" s="59" t="b">
        <x:v>1</x:v>
      </x:c>
      <x:c r="F787" s="20" t="str">
        <x:v>Planned</x:v>
      </x:c>
    </x:row>
    <x:row r="788" ht="28" customHeight="1">
      <x:c r="A788" s="2" t="str">
        <x:v>F781</x:v>
      </x:c>
      <x:c r="B788" s="50" t="n">
        <x:v>10</x:v>
      </x:c>
      <x:c r="C788" s="2" t="str">
        <x:v>Event detail</x:v>
      </x:c>
      <x:c r="D788" s="19" t="str">
        <x:v>C10E05 Kip: geometry.stationary</x:v>
      </x:c>
      <x:c r="E788" s="58" t="b">
        <x:v>1</x:v>
      </x:c>
      <x:c r="F788" s="19" t="str">
        <x:v>Planned</x:v>
      </x:c>
    </x:row>
    <x:row r="789" ht="32" customHeight="1">
      <x:c r="A789" s="17" t="str">
        <x:v>F782</x:v>
      </x:c>
      <x:c r="B789" s="51" t="n">
        <x:v>10</x:v>
      </x:c>
      <x:c r="C789" s="17" t="str">
        <x:v>Event detail</x:v>
      </x:c>
      <x:c r="D789" s="20" t="str">
        <x:v>C10E05 Kip: geometry.physical_impact_crosses_front</x:v>
      </x:c>
      <x:c r="E789" s="59" t="b">
        <x:v>1</x:v>
      </x:c>
      <x:c r="F789" s="20" t="str">
        <x:v>Planned</x:v>
      </x:c>
    </x:row>
    <x:row r="790" ht="32" customHeight="1">
      <x:c r="A790" s="2" t="str">
        <x:v>F783</x:v>
      </x:c>
      <x:c r="B790" s="50" t="n">
        <x:v>10</x:v>
      </x:c>
      <x:c r="C790" s="2" t="str">
        <x:v>Event detail</x:v>
      </x:c>
      <x:c r="D790" s="19" t="str">
        <x:v>C10E05 Kip: geometry.blocks_heat_or_water</x:v>
      </x:c>
      <x:c r="E790" s="58" t="b">
        <x:v>0</x:v>
      </x:c>
      <x:c r="F790" s="19" t="str">
        <x:v>Planned</x:v>
      </x:c>
    </x:row>
    <x:row r="791" ht="28" customHeight="1">
      <x:c r="A791" s="17" t="str">
        <x:v>F784</x:v>
      </x:c>
      <x:c r="B791" s="51" t="n">
        <x:v>10</x:v>
      </x:c>
      <x:c r="C791" s="17" t="str">
        <x:v>Event detail</x:v>
      </x:c>
      <x:c r="D791" s="20" t="str">
        <x:v>C10E06 Owen: target</x:v>
      </x:c>
      <x:c r="E791" s="20" t="str">
        <x:v>Dane 10cm/0.4cm right upper-arm cut</x:v>
      </x:c>
      <x:c r="F791" s="20" t="str">
        <x:v>Planned</x:v>
      </x:c>
    </x:row>
    <x:row r="792" ht="28" customHeight="1">
      <x:c r="A792" s="2" t="str">
        <x:v>F785</x:v>
      </x:c>
      <x:c r="B792" s="50" t="n">
        <x:v>10</x:v>
      </x:c>
      <x:c r="C792" s="2" t="str">
        <x:v>Event detail</x:v>
      </x:c>
      <x:c r="D792" s="19" t="str">
        <x:v>C10E06 Owen: geometry.wound_length_cm</x:v>
      </x:c>
      <x:c r="E792" s="60" t="n">
        <x:v>10</x:v>
      </x:c>
      <x:c r="F792" s="19" t="str">
        <x:v>Planned</x:v>
      </x:c>
    </x:row>
    <x:row r="793" ht="28" customHeight="1">
      <x:c r="A793" s="17" t="str">
        <x:v>F786</x:v>
      </x:c>
      <x:c r="B793" s="51" t="n">
        <x:v>10</x:v>
      </x:c>
      <x:c r="C793" s="17" t="str">
        <x:v>Event detail</x:v>
      </x:c>
      <x:c r="D793" s="20" t="str">
        <x:v>C10E06 Owen: geometry.wound_depth_cm</x:v>
      </x:c>
      <x:c r="E793" s="62" t="n">
        <x:v>0.4</x:v>
      </x:c>
      <x:c r="F793" s="20" t="str">
        <x:v>Planned</x:v>
      </x:c>
    </x:row>
    <x:row r="794" ht="28" customHeight="1">
      <x:c r="A794" s="2" t="str">
        <x:v>F787</x:v>
      </x:c>
      <x:c r="B794" s="50" t="n">
        <x:v>10</x:v>
      </x:c>
      <x:c r="C794" s="2" t="str">
        <x:v>Event detail</x:v>
      </x:c>
      <x:c r="D794" s="19" t="str">
        <x:v>C10E06 Owen: geometry.external_wound</x:v>
      </x:c>
      <x:c r="E794" s="58" t="b">
        <x:v>1</x:v>
      </x:c>
      <x:c r="F794" s="19" t="str">
        <x:v>Planned</x:v>
      </x:c>
    </x:row>
    <x:row r="795" ht="32" customHeight="1">
      <x:c r="A795" s="17" t="str">
        <x:v>F788</x:v>
      </x:c>
      <x:c r="B795" s="51" t="n">
        <x:v>10</x:v>
      </x:c>
      <x:c r="C795" s="17" t="str">
        <x:v>Event detail</x:v>
      </x:c>
      <x:c r="D795" s="20" t="str">
        <x:v>C10E06 Owen: geometry.tissue_present_and_aligned</x:v>
      </x:c>
      <x:c r="E795" s="59" t="b">
        <x:v>1</x:v>
      </x:c>
      <x:c r="F795" s="20" t="str">
        <x:v>Planned</x:v>
      </x:c>
    </x:row>
    <x:row r="796" ht="32" customHeight="1">
      <x:c r="A796" s="2" t="str">
        <x:v>F789</x:v>
      </x:c>
      <x:c r="B796" s="50" t="n">
        <x:v>10</x:v>
      </x:c>
      <x:c r="C796" s="2" t="str">
        <x:v>Event detail</x:v>
      </x:c>
      <x:c r="D796" s="19" t="str">
        <x:v>C10E06 Owen: geometry.uninterrupted_touch_seconds</x:v>
      </x:c>
      <x:c r="E796" s="60" t="n">
        <x:v>20</x:v>
      </x:c>
      <x:c r="F796" s="19" t="str">
        <x:v>Planned</x:v>
      </x:c>
    </x:row>
    <x:row r="797" ht="32" customHeight="1">
      <x:c r="A797" s="17" t="str">
        <x:v>F790</x:v>
      </x:c>
      <x:c r="B797" s="51" t="n">
        <x:v>10</x:v>
      </x:c>
      <x:c r="C797" s="17" t="str">
        <x:v>Event detail</x:v>
      </x:c>
      <x:c r="D797" s="20" t="str">
        <x:v>C10E06 Owen: geometry.repairs_bone_blood_organs_or_nerves</x:v>
      </x:c>
      <x:c r="E797" s="59" t="b">
        <x:v>0</x:v>
      </x:c>
      <x:c r="F797" s="20" t="str">
        <x:v>Planned</x:v>
      </x:c>
    </x:row>
    <x:row r="798" ht="32" customHeight="1">
      <x:c r="A798" s="2" t="str">
        <x:v>F791</x:v>
      </x:c>
      <x:c r="B798" s="50" t="n">
        <x:v>10</x:v>
      </x:c>
      <x:c r="C798" s="2" t="str">
        <x:v>Event detail</x:v>
      </x:c>
      <x:c r="D798" s="19" t="str">
        <x:v>C10E06 Owen: geometry.protected_position_for_channel_required_in_prose</x:v>
      </x:c>
      <x:c r="E798" s="58" t="b">
        <x:v>1</x:v>
      </x:c>
      <x:c r="F798" s="19" t="str">
        <x:v>Planned</x:v>
      </x:c>
    </x:row>
    <x:row r="799" ht="28" customHeight="1">
      <x:c r="A799" s="17" t="str">
        <x:v>F792</x:v>
      </x:c>
      <x:c r="B799" s="51" t="n">
        <x:v>10</x:v>
      </x:c>
      <x:c r="C799" s="17" t="str">
        <x:v>Event detail</x:v>
      </x:c>
      <x:c r="D799" s="20" t="str">
        <x:v>C10E08 Kip: target</x:v>
      </x:c>
      <x:c r="E799" s="20" t="str">
        <x:v>C: archive anchor</x:v>
      </x:c>
      <x:c r="F799" s="20" t="str">
        <x:v>Planned</x:v>
      </x:c>
    </x:row>
    <x:row r="800" ht="32" customHeight="1">
      <x:c r="A800" s="2" t="str">
        <x:v>F793</x:v>
      </x:c>
      <x:c r="B800" s="50" t="n">
        <x:v>10</x:v>
      </x:c>
      <x:c r="C800" s="2" t="str">
        <x:v>Event detail</x:v>
      </x:c>
      <x:c r="D800" s="19" t="str">
        <x:v>C10E08 Kip: note</x:v>
      </x:c>
      <x:c r="E800" s="19" t="str">
        <x:v>16m chamber cleared; defended doorway holds all new hostiles outside for30sec. Announced Rank1 proof completes before capacity2 earned.</x:v>
      </x:c>
      <x:c r="F800" s="19" t="str">
        <x:v>Planned</x:v>
      </x:c>
    </x:row>
    <x:row r="801" ht="32" customHeight="1">
      <x:c r="A801" s="17" t="str">
        <x:v>F794</x:v>
      </x:c>
      <x:c r="B801" s="51" t="n">
        <x:v>10</x:v>
      </x:c>
      <x:c r="C801" s="17" t="str">
        <x:v>Event detail</x:v>
      </x:c>
      <x:c r="D801" s="20" t="str">
        <x:v>C10E08 Kip: geometry.enclosed_room_max_width_m</x:v>
      </x:c>
      <x:c r="E801" s="61" t="n">
        <x:v>16</x:v>
      </x:c>
      <x:c r="F801" s="20" t="str">
        <x:v>Planned</x:v>
      </x:c>
    </x:row>
    <x:row r="802" ht="28" customHeight="1">
      <x:c r="A802" s="2" t="str">
        <x:v>F795</x:v>
      </x:c>
      <x:c r="B802" s="50" t="n">
        <x:v>10</x:v>
      </x:c>
      <x:c r="C802" s="2" t="str">
        <x:v>Event detail</x:v>
      </x:c>
      <x:c r="D802" s="19" t="str">
        <x:v>C10E08 Kip: geometry.intact_anchor</x:v>
      </x:c>
      <x:c r="E802" s="58" t="b">
        <x:v>1</x:v>
      </x:c>
      <x:c r="F802" s="19" t="str">
        <x:v>Planned</x:v>
      </x:c>
    </x:row>
    <x:row r="803" ht="32" customHeight="1">
      <x:c r="A803" s="17" t="str">
        <x:v>F796</x:v>
      </x:c>
      <x:c r="B803" s="51" t="n">
        <x:v>10</x:v>
      </x:c>
      <x:c r="C803" s="17" t="str">
        <x:v>Event detail</x:v>
      </x:c>
      <x:c r="D803" s="20" t="str">
        <x:v>C10E08 Kip: geometry.guardian_defeated_or_none_assigned</x:v>
      </x:c>
      <x:c r="E803" s="59" t="b">
        <x:v>1</x:v>
      </x:c>
      <x:c r="F803" s="20" t="str">
        <x:v>Planned</x:v>
      </x:c>
    </x:row>
    <x:row r="804" ht="32" customHeight="1">
      <x:c r="A804" s="2" t="str">
        <x:v>F797</x:v>
      </x:c>
      <x:c r="B804" s="50" t="n">
        <x:v>10</x:v>
      </x:c>
      <x:c r="C804" s="2" t="str">
        <x:v>Event detail</x:v>
      </x:c>
      <x:c r="D804" s="19" t="str">
        <x:v>C10E08 Kip: geometry.protective_seal_removed_or_absent</x:v>
      </x:c>
      <x:c r="E804" s="58" t="b">
        <x:v>1</x:v>
      </x:c>
      <x:c r="F804" s="19" t="str">
        <x:v>Planned</x:v>
      </x:c>
    </x:row>
    <x:row r="805" ht="32" customHeight="1">
      <x:c r="A805" s="17" t="str">
        <x:v>F798</x:v>
      </x:c>
      <x:c r="B805" s="51" t="n">
        <x:v>10</x:v>
      </x:c>
      <x:c r="C805" s="17" t="str">
        <x:v>Event detail</x:v>
      </x:c>
      <x:c r="D805" s="20" t="str">
        <x:v>C10E08 Kip: geometry.living_hostiles_inside_at_start</x:v>
      </x:c>
      <x:c r="E805" s="61" t="n">
        <x:v>0</x:v>
      </x:c>
      <x:c r="F805" s="20" t="str">
        <x:v>Planned</x:v>
      </x:c>
    </x:row>
    <x:row r="806" ht="28" customHeight="1">
      <x:c r="A806" s="2" t="str">
        <x:v>F799</x:v>
      </x:c>
      <x:c r="B806" s="50" t="n">
        <x:v>10</x:v>
      </x:c>
      <x:c r="C806" s="2" t="str">
        <x:v>Event detail</x:v>
      </x:c>
      <x:c r="D806" s="19" t="str">
        <x:v>C10E08 Kip: geometry.boss_chamber</x:v>
      </x:c>
      <x:c r="E806" s="58" t="b">
        <x:v>0</x:v>
      </x:c>
      <x:c r="F806" s="19" t="str">
        <x:v>Planned</x:v>
      </x:c>
    </x:row>
    <x:row r="807" ht="28" customHeight="1">
      <x:c r="A807" s="17" t="str">
        <x:v>F800</x:v>
      </x:c>
      <x:c r="B807" s="51" t="n">
        <x:v>10</x:v>
      </x:c>
      <x:c r="C807" s="17" t="str">
        <x:v>Event detail</x:v>
      </x:c>
      <x:c r="D807" s="20" t="str">
        <x:v>C10E08 Kip: channel_seconds</x:v>
      </x:c>
      <x:c r="E807" s="61" t="n">
        <x:v>30</x:v>
      </x:c>
      <x:c r="F807" s="20" t="str">
        <x:v>Planned</x:v>
      </x:c>
    </x:row>
    <x:row r="808" ht="28" customHeight="1">
      <x:c r="A808" s="2" t="str">
        <x:v>F801</x:v>
      </x:c>
      <x:c r="B808" s="50" t="n">
        <x:v>10</x:v>
      </x:c>
      <x:c r="C808" s="2" t="str">
        <x:v>Event detail</x:v>
      </x:c>
      <x:c r="D808" s="19" t="str">
        <x:v>C10E08 Kip: outcome</x:v>
      </x:c>
      <x:c r="E808" s="19" t="str">
        <x:v>success after uninterrupted30seconds</x:v>
      </x:c>
      <x:c r="F808" s="19" t="str">
        <x:v>Planned</x:v>
      </x:c>
    </x:row>
    <x:row r="809" ht="28" customHeight="1">
      <x:c r="A809" s="17" t="str">
        <x:v>F802</x:v>
      </x:c>
      <x:c r="B809" s="51" t="n">
        <x:v>10</x:v>
      </x:c>
      <x:c r="C809" s="17" t="str">
        <x:v>Event detail</x:v>
      </x:c>
      <x:c r="D809" s="20" t="str">
        <x:v>C10E09 Kip: note</x:v>
      </x:c>
      <x:c r="E809" s="20" t="str">
        <x:v>Protected, seated, no casting/movement/attack; another awake person keeps watch.</x:v>
      </x:c>
      <x:c r="F809" s="20" t="str">
        <x:v>Planned</x:v>
      </x:c>
    </x:row>
    <x:row r="810" ht="28" customHeight="1">
      <x:c r="A810" s="2" t="str">
        <x:v>F803</x:v>
      </x:c>
      <x:c r="B810" s="50" t="n">
        <x:v>10</x:v>
      </x:c>
      <x:c r="C810" s="2" t="str">
        <x:v>Event detail</x:v>
      </x:c>
      <x:c r="D810" s="19" t="str">
        <x:v>C10E09 Kip: ends</x:v>
      </x:c>
      <x:c r="E810" s="19" t="str">
        <x:v>Day 2 13:09:00</x:v>
      </x:c>
      <x:c r="F810" s="19" t="str">
        <x:v>Planned</x:v>
      </x:c>
    </x:row>
    <x:row r="811" ht="28" customHeight="1">
      <x:c r="A811" s="17" t="str">
        <x:v>F804</x:v>
      </x:c>
      <x:c r="B811" s="51" t="n">
        <x:v>10</x:v>
      </x:c>
      <x:c r="C811" s="17" t="str">
        <x:v>Event detail</x:v>
      </x:c>
      <x:c r="D811" s="20" t="str">
        <x:v>C10E10 Tessa: note</x:v>
      </x:c>
      <x:c r="E811" s="20" t="str">
        <x:v>Protected, seated, no casting/movement/attack; another awake person keeps watch.</x:v>
      </x:c>
      <x:c r="F811" s="20" t="str">
        <x:v>Planned</x:v>
      </x:c>
    </x:row>
    <x:row r="812" ht="28" customHeight="1">
      <x:c r="A812" s="2" t="str">
        <x:v>F805</x:v>
      </x:c>
      <x:c r="B812" s="50" t="n">
        <x:v>10</x:v>
      </x:c>
      <x:c r="C812" s="2" t="str">
        <x:v>Event detail</x:v>
      </x:c>
      <x:c r="D812" s="19" t="str">
        <x:v>C10E10 Tessa: ends</x:v>
      </x:c>
      <x:c r="E812" s="19" t="str">
        <x:v>Day 2 13:06:00</x:v>
      </x:c>
      <x:c r="F812" s="19" t="str">
        <x:v>Planned</x:v>
      </x:c>
    </x:row>
    <x:row r="813" ht="28" customHeight="1">
      <x:c r="A813" s="17" t="str">
        <x:v>F806</x:v>
      </x:c>
      <x:c r="B813" s="51" t="n">
        <x:v>10</x:v>
      </x:c>
      <x:c r="C813" s="17" t="str">
        <x:v>Event detail</x:v>
      </x:c>
      <x:c r="D813" s="20" t="str">
        <x:v>C10E11 Owen: note</x:v>
      </x:c>
      <x:c r="E813" s="20" t="str">
        <x:v>Protected, seated, no casting/movement/attack; another awake person keeps watch.</x:v>
      </x:c>
      <x:c r="F813" s="20" t="str">
        <x:v>Planned</x:v>
      </x:c>
    </x:row>
    <x:row r="814" ht="28" customHeight="1">
      <x:c r="A814" s="2" t="str">
        <x:v>F807</x:v>
      </x:c>
      <x:c r="B814" s="50" t="n">
        <x:v>10</x:v>
      </x:c>
      <x:c r="C814" s="2" t="str">
        <x:v>Event detail</x:v>
      </x:c>
      <x:c r="D814" s="19" t="str">
        <x:v>C10E11 Owen: ends</x:v>
      </x:c>
      <x:c r="E814" s="19" t="str">
        <x:v>Day 2 13:04:00</x:v>
      </x:c>
      <x:c r="F814" s="19" t="str">
        <x:v>Planned</x:v>
      </x:c>
    </x:row>
    <x:row r="815" ht="32" customHeight="1">
      <x:c r="A815" s="17" t="str">
        <x:v>F808</x:v>
      </x:c>
      <x:c r="B815" s="51" t="n">
        <x:v>10</x:v>
      </x:c>
      <x:c r="C815" s="17" t="str">
        <x:v>Event detail</x:v>
      </x:c>
      <x:c r="D815" s="20" t="str">
        <x:v>C10E12 Dane: note</x:v>
      </x:c>
      <x:c r="E815" s="20" t="str">
        <x:v>The other three recover first; Dane sits13:10–13:14 while Tessa watches. No Mana recovery during the return walk.</x:v>
      </x:c>
      <x:c r="F815" s="20" t="str">
        <x:v>Planned</x:v>
      </x:c>
    </x:row>
    <x:row r="816" ht="28" customHeight="1">
      <x:c r="A816" s="2" t="str">
        <x:v>F809</x:v>
      </x:c>
      <x:c r="B816" s="50" t="n">
        <x:v>10</x:v>
      </x:c>
      <x:c r="C816" s="2" t="str">
        <x:v>Event detail</x:v>
      </x:c>
      <x:c r="D816" s="19" t="str">
        <x:v>C10E12 Dane: ends</x:v>
      </x:c>
      <x:c r="E816" s="19" t="str">
        <x:v>Day 2 13:14:00</x:v>
      </x:c>
      <x:c r="F816" s="19" t="str">
        <x:v>Planned</x:v>
      </x:c>
    </x:row>
    <x:row r="817" ht="28" customHeight="1">
      <x:c r="A817" s="17" t="str">
        <x:v>F810</x:v>
      </x:c>
      <x:c r="B817" s="51" t="n">
        <x:v>11</x:v>
      </x:c>
      <x:c r="C817" s="17" t="str">
        <x:v>Event detail</x:v>
      </x:c>
      <x:c r="D817" s="20" t="str">
        <x:v>C11E01 Dane: target</x:v>
      </x:c>
      <x:c r="E817" s="20" t="str">
        <x:v>Jory litter within8m</x:v>
      </x:c>
      <x:c r="F817" s="20" t="str">
        <x:v>Planned</x:v>
      </x:c>
    </x:row>
    <x:row r="818" ht="48" customHeight="1">
      <x:c r="A818" s="2" t="str">
        <x:v>F811</x:v>
      </x:c>
      <x:c r="B818" s="50" t="n">
        <x:v>11</x:v>
      </x:c>
      <x:c r="C818" s="2" t="str">
        <x:v>Event detail</x:v>
      </x:c>
      <x:c r="D818" s="19" t="str">
        <x:v>C11E01 Dane: note</x:v>
      </x:c>
      <x:c r="E818" s="19" t="str">
        <x:v>Fractures left wrist catching litter after this maneuver; right sword arm intact. Movement gets him to Jory; catching litter is ordinary bodily action. The weapon-block bonus is unused and does not protect his left wrist.</x:v>
      </x:c>
      <x:c r="F818" s="19" t="str">
        <x:v>Planned</x:v>
      </x:c>
    </x:row>
    <x:row r="819" ht="28" customHeight="1">
      <x:c r="A819" s="17" t="str">
        <x:v>F812</x:v>
      </x:c>
      <x:c r="B819" s="51" t="n">
        <x:v>11</x:v>
      </x:c>
      <x:c r="C819" s="17" t="str">
        <x:v>Event detail</x:v>
      </x:c>
      <x:c r="D819" s="20" t="str">
        <x:v>C11E01 Dane: geometry.path_length_m</x:v>
      </x:c>
      <x:c r="E819" s="61" t="n">
        <x:v>6</x:v>
      </x:c>
      <x:c r="F819" s="20" t="str">
        <x:v>Planned</x:v>
      </x:c>
    </x:row>
    <x:row r="820" ht="28" customHeight="1">
      <x:c r="A820" s="2" t="str">
        <x:v>F813</x:v>
      </x:c>
      <x:c r="B820" s="50" t="n">
        <x:v>11</x:v>
      </x:c>
      <x:c r="C820" s="2" t="str">
        <x:v>Event detail</x:v>
      </x:c>
      <x:c r="D820" s="19" t="str">
        <x:v>C11E01 Dane: geometry.visible_ally</x:v>
      </x:c>
      <x:c r="E820" s="58" t="b">
        <x:v>1</x:v>
      </x:c>
      <x:c r="F820" s="19" t="str">
        <x:v>Planned</x:v>
      </x:c>
    </x:row>
    <x:row r="821" ht="32" customHeight="1">
      <x:c r="A821" s="17" t="str">
        <x:v>F814</x:v>
      </x:c>
      <x:c r="B821" s="51" t="n">
        <x:v>11</x:v>
      </x:c>
      <x:c r="C821" s="17" t="str">
        <x:v>Event detail</x:v>
      </x:c>
      <x:c r="D821" s="20" t="str">
        <x:v>C11E01 Dane: geometry.clear_physical_path</x:v>
      </x:c>
      <x:c r="E821" s="59" t="b">
        <x:v>1</x:v>
      </x:c>
      <x:c r="F821" s="20" t="str">
        <x:v>Planned</x:v>
      </x:c>
    </x:row>
    <x:row r="822" ht="32" customHeight="1">
      <x:c r="A822" s="2" t="str">
        <x:v>F815</x:v>
      </x:c>
      <x:c r="B822" s="50" t="n">
        <x:v>11</x:v>
      </x:c>
      <x:c r="C822" s="2" t="str">
        <x:v>Event detail</x:v>
      </x:c>
      <x:c r="D822" s="19" t="str">
        <x:v>C11E01 Dane: geometry.functional_weapon_in_right_hand</x:v>
      </x:c>
      <x:c r="E822" s="58" t="b">
        <x:v>1</x:v>
      </x:c>
      <x:c r="F822" s="19" t="str">
        <x:v>Planned</x:v>
      </x:c>
    </x:row>
    <x:row r="823" ht="32" customHeight="1">
      <x:c r="A823" s="17" t="str">
        <x:v>F816</x:v>
      </x:c>
      <x:c r="B823" s="51" t="n">
        <x:v>11</x:v>
      </x:c>
      <x:c r="C823" s="17" t="str">
        <x:v>Event detail</x:v>
      </x:c>
      <x:c r="D823" s="20" t="str">
        <x:v>C11E01 Dane: geometry.uses_enhanced_block</x:v>
      </x:c>
      <x:c r="E823" s="59" t="b">
        <x:v>0</x:v>
      </x:c>
      <x:c r="F823" s="20" t="str">
        <x:v>Planned</x:v>
      </x:c>
    </x:row>
    <x:row r="824" ht="32" customHeight="1">
      <x:c r="A824" s="2" t="str">
        <x:v>F817</x:v>
      </x:c>
      <x:c r="B824" s="50" t="n">
        <x:v>11</x:v>
      </x:c>
      <x:c r="C824" s="2" t="str">
        <x:v>Event detail</x:v>
      </x:c>
      <x:c r="D824" s="19" t="str">
        <x:v>C11E01 Dane: geometry.block_seconds_after_activation</x:v>
      </x:c>
      <x:c r="E824" s="19" t="str">
        <x:v>null</x:v>
      </x:c>
      <x:c r="F824" s="19" t="str">
        <x:v>Planned</x:v>
      </x:c>
    </x:row>
    <x:row r="825" ht="32" customHeight="1">
      <x:c r="A825" s="17" t="str">
        <x:v>F818</x:v>
      </x:c>
      <x:c r="B825" s="51" t="n">
        <x:v>11</x:v>
      </x:c>
      <x:c r="C825" s="17" t="str">
        <x:v>Event detail</x:v>
      </x:c>
      <x:c r="D825" s="20" t="str">
        <x:v>C11E01 Dane: geometry.parryable_physical_attack</x:v>
      </x:c>
      <x:c r="E825" s="59" t="b">
        <x:v>1</x:v>
      </x:c>
      <x:c r="F825" s="20" t="str">
        <x:v>Planned</x:v>
      </x:c>
    </x:row>
    <x:row r="826" ht="32" customHeight="1">
      <x:c r="A826" s="2" t="str">
        <x:v>F819</x:v>
      </x:c>
      <x:c r="B826" s="50" t="n">
        <x:v>11</x:v>
      </x:c>
      <x:c r="C826" s="2" t="str">
        <x:v>Event detail</x:v>
      </x:c>
      <x:c r="D826" s="19" t="str">
        <x:v>C11E01 Dane: geometry.all_direction_protection_assumed</x:v>
      </x:c>
      <x:c r="E826" s="58" t="b">
        <x:v>0</x:v>
      </x:c>
      <x:c r="F826" s="19" t="str">
        <x:v>Planned</x:v>
      </x:c>
    </x:row>
    <x:row r="827" ht="28" customHeight="1">
      <x:c r="A827" s="17" t="str">
        <x:v>F820</x:v>
      </x:c>
      <x:c r="B827" s="51" t="n">
        <x:v>11</x:v>
      </x:c>
      <x:c r="C827" s="17" t="str">
        <x:v>Event detail</x:v>
      </x:c>
      <x:c r="D827" s="20" t="str">
        <x:v>C11E02 Kip: target</x:v>
      </x:c>
      <x:c r="E827" s="20" t="str">
        <x:v>predator charge lane</x:v>
      </x:c>
      <x:c r="F827" s="20" t="str">
        <x:v>Planned</x:v>
      </x:c>
    </x:row>
    <x:row r="828" ht="28" customHeight="1">
      <x:c r="A828" s="2" t="str">
        <x:v>F821</x:v>
      </x:c>
      <x:c r="B828" s="50" t="n">
        <x:v>11</x:v>
      </x:c>
      <x:c r="C828" s="2" t="str">
        <x:v>Event detail</x:v>
      </x:c>
      <x:c r="D828" s="19" t="str">
        <x:v>C11E02 Kip: setup_seconds</x:v>
      </x:c>
      <x:c r="E828" s="60" t="n">
        <x:v>2</x:v>
      </x:c>
      <x:c r="F828" s="19" t="str">
        <x:v>Planned</x:v>
      </x:c>
    </x:row>
    <x:row r="829" ht="32" customHeight="1">
      <x:c r="A829" s="17" t="str">
        <x:v>F822</x:v>
      </x:c>
      <x:c r="B829" s="51" t="n">
        <x:v>11</x:v>
      </x:c>
      <x:c r="C829" s="17" t="str">
        <x:v>Event detail</x:v>
      </x:c>
      <x:c r="D829" s="20" t="str">
        <x:v>C11E02 Kip: physical_impact_seconds_after_start</x:v>
      </x:c>
      <x:c r="E829" s="61" t="n">
        <x:v>8</x:v>
      </x:c>
      <x:c r="F829" s="20" t="str">
        <x:v>Planned</x:v>
      </x:c>
    </x:row>
    <x:row r="830" ht="28" customHeight="1">
      <x:c r="A830" s="2" t="str">
        <x:v>F823</x:v>
      </x:c>
      <x:c r="B830" s="50" t="n">
        <x:v>11</x:v>
      </x:c>
      <x:c r="C830" s="2" t="str">
        <x:v>Event detail</x:v>
      </x:c>
      <x:c r="D830" s="19" t="str">
        <x:v>C11E02 Kip: geometry.clear_ground</x:v>
      </x:c>
      <x:c r="E830" s="58" t="b">
        <x:v>1</x:v>
      </x:c>
      <x:c r="F830" s="19" t="str">
        <x:v>Planned</x:v>
      </x:c>
    </x:row>
    <x:row r="831" ht="28" customHeight="1">
      <x:c r="A831" s="17" t="str">
        <x:v>F824</x:v>
      </x:c>
      <x:c r="B831" s="51" t="n">
        <x:v>11</x:v>
      </x:c>
      <x:c r="C831" s="17" t="str">
        <x:v>Event detail</x:v>
      </x:c>
      <x:c r="D831" s="20" t="str">
        <x:v>C11E02 Kip: geometry.within_3m</x:v>
      </x:c>
      <x:c r="E831" s="59" t="b">
        <x:v>1</x:v>
      </x:c>
      <x:c r="F831" s="20" t="str">
        <x:v>Planned</x:v>
      </x:c>
    </x:row>
    <x:row r="832" ht="28" customHeight="1">
      <x:c r="A832" s="2" t="str">
        <x:v>F825</x:v>
      </x:c>
      <x:c r="B832" s="50" t="n">
        <x:v>11</x:v>
      </x:c>
      <x:c r="C832" s="2" t="str">
        <x:v>Event detail</x:v>
      </x:c>
      <x:c r="D832" s="19" t="str">
        <x:v>C11E02 Kip: geometry.upright_2m_square</x:v>
      </x:c>
      <x:c r="E832" s="58" t="b">
        <x:v>1</x:v>
      </x:c>
      <x:c r="F832" s="19" t="str">
        <x:v>Planned</x:v>
      </x:c>
    </x:row>
    <x:row r="833" ht="28" customHeight="1">
      <x:c r="A833" s="17" t="str">
        <x:v>F826</x:v>
      </x:c>
      <x:c r="B833" s="51" t="n">
        <x:v>11</x:v>
      </x:c>
      <x:c r="C833" s="17" t="str">
        <x:v>Event detail</x:v>
      </x:c>
      <x:c r="D833" s="20" t="str">
        <x:v>C11E02 Kip: geometry.stationary</x:v>
      </x:c>
      <x:c r="E833" s="59" t="b">
        <x:v>1</x:v>
      </x:c>
      <x:c r="F833" s="20" t="str">
        <x:v>Planned</x:v>
      </x:c>
    </x:row>
    <x:row r="834" ht="32" customHeight="1">
      <x:c r="A834" s="2" t="str">
        <x:v>F827</x:v>
      </x:c>
      <x:c r="B834" s="50" t="n">
        <x:v>11</x:v>
      </x:c>
      <x:c r="C834" s="2" t="str">
        <x:v>Event detail</x:v>
      </x:c>
      <x:c r="D834" s="19" t="str">
        <x:v>C11E02 Kip: geometry.physical_impact_crosses_front</x:v>
      </x:c>
      <x:c r="E834" s="58" t="b">
        <x:v>1</x:v>
      </x:c>
      <x:c r="F834" s="19" t="str">
        <x:v>Planned</x:v>
      </x:c>
    </x:row>
    <x:row r="835" ht="32" customHeight="1">
      <x:c r="A835" s="17" t="str">
        <x:v>F828</x:v>
      </x:c>
      <x:c r="B835" s="51" t="n">
        <x:v>11</x:v>
      </x:c>
      <x:c r="C835" s="17" t="str">
        <x:v>Event detail</x:v>
      </x:c>
      <x:c r="D835" s="20" t="str">
        <x:v>C11E02 Kip: geometry.blocks_heat_or_water</x:v>
      </x:c>
      <x:c r="E835" s="59" t="b">
        <x:v>0</x:v>
      </x:c>
      <x:c r="F835" s="20" t="str">
        <x:v>Planned</x:v>
      </x:c>
    </x:row>
    <x:row r="836" ht="28" customHeight="1">
      <x:c r="A836" s="2" t="str">
        <x:v>F829</x:v>
      </x:c>
      <x:c r="B836" s="50" t="n">
        <x:v>11</x:v>
      </x:c>
      <x:c r="C836" s="2" t="str">
        <x:v>Event detail</x:v>
      </x:c>
      <x:c r="D836" s="19" t="str">
        <x:v>C11E03 Tessa: target</x:v>
      </x:c>
      <x:c r="E836" s="19" t="str">
        <x:v>clear exit ahead of litter</x:v>
      </x:c>
      <x:c r="F836" s="19" t="str">
        <x:v>Planned</x:v>
      </x:c>
    </x:row>
    <x:row r="837" ht="28" customHeight="1">
      <x:c r="A837" s="17" t="str">
        <x:v>F830</x:v>
      </x:c>
      <x:c r="B837" s="51" t="n">
        <x:v>11</x:v>
      </x:c>
      <x:c r="C837" s="17" t="str">
        <x:v>Event detail</x:v>
      </x:c>
      <x:c r="D837" s="20" t="str">
        <x:v>C11E03 Tessa: geometry.path_length_m</x:v>
      </x:c>
      <x:c r="E837" s="61" t="n">
        <x:v>8</x:v>
      </x:c>
      <x:c r="F837" s="20" t="str">
        <x:v>Planned</x:v>
      </x:c>
    </x:row>
    <x:row r="838" ht="32" customHeight="1">
      <x:c r="A838" s="2" t="str">
        <x:v>F831</x:v>
      </x:c>
      <x:c r="B838" s="50" t="n">
        <x:v>11</x:v>
      </x:c>
      <x:c r="C838" s="2" t="str">
        <x:v>Event detail</x:v>
      </x:c>
      <x:c r="D838" s="19" t="str">
        <x:v>C11E03 Tessa: geometry.visible_traversable_physical_path</x:v>
      </x:c>
      <x:c r="E838" s="58" t="b">
        <x:v>1</x:v>
      </x:c>
      <x:c r="F838" s="19" t="str">
        <x:v>Planned</x:v>
      </x:c>
    </x:row>
    <x:row r="839" ht="32" customHeight="1">
      <x:c r="A839" s="17" t="str">
        <x:v>F832</x:v>
      </x:c>
      <x:c r="B839" s="51" t="n">
        <x:v>11</x:v>
      </x:c>
      <x:c r="C839" s="17" t="str">
        <x:v>Event detail</x:v>
      </x:c>
      <x:c r="D839" s="20" t="str">
        <x:v>C11E03 Tessa: geometry.passes_through_creature_wall_or_restraint</x:v>
      </x:c>
      <x:c r="E839" s="59" t="b">
        <x:v>0</x:v>
      </x:c>
      <x:c r="F839" s="20" t="str">
        <x:v>Planned</x:v>
      </x:c>
    </x:row>
    <x:row r="840" ht="32" customHeight="1">
      <x:c r="A840" s="2" t="str">
        <x:v>F833</x:v>
      </x:c>
      <x:c r="B840" s="50" t="n">
        <x:v>11</x:v>
      </x:c>
      <x:c r="C840" s="2" t="str">
        <x:v>Event detail</x:v>
      </x:c>
      <x:c r="D840" s="19" t="str">
        <x:v>C11E03 Tessa: geometry.carries_another_adult</x:v>
      </x:c>
      <x:c r="E840" s="58" t="b">
        <x:v>0</x:v>
      </x:c>
      <x:c r="F840" s="19" t="str">
        <x:v>Planned</x:v>
      </x:c>
    </x:row>
    <x:row r="841" ht="32" customHeight="1">
      <x:c r="A841" s="17" t="str">
        <x:v>F834</x:v>
      </x:c>
      <x:c r="B841" s="51" t="n">
        <x:v>11</x:v>
      </x:c>
      <x:c r="C841" s="17" t="str">
        <x:v>Event detail</x:v>
      </x:c>
      <x:c r="D841" s="20" t="str">
        <x:v>C11E03 Tessa: geometry.crosses_otherwise_impossible_gap</x:v>
      </x:c>
      <x:c r="E841" s="59" t="b">
        <x:v>0</x:v>
      </x:c>
      <x:c r="F841" s="20" t="str">
        <x:v>Planned</x:v>
      </x:c>
    </x:row>
    <x:row r="842" ht="32" customHeight="1">
      <x:c r="A842" s="2" t="str">
        <x:v>F835</x:v>
      </x:c>
      <x:c r="B842" s="50" t="n">
        <x:v>11</x:v>
      </x:c>
      <x:c r="C842" s="2" t="str">
        <x:v>Event detail</x:v>
      </x:c>
      <x:c r="D842" s="19" t="str">
        <x:v>C11E03 Tessa: geometry.hazard_immunity_assumed</x:v>
      </x:c>
      <x:c r="E842" s="58" t="b">
        <x:v>0</x:v>
      </x:c>
      <x:c r="F842" s="19" t="str">
        <x:v>Planned</x:v>
      </x:c>
    </x:row>
    <x:row r="843" ht="28" customHeight="1">
      <x:c r="A843" s="17" t="str">
        <x:v>F836</x:v>
      </x:c>
      <x:c r="B843" s="51" t="n">
        <x:v>11</x:v>
      </x:c>
      <x:c r="C843" s="17" t="str">
        <x:v>Event detail</x:v>
      </x:c>
      <x:c r="D843" s="20" t="str">
        <x:v>C11E04 Tessa: target</x:v>
      </x:c>
      <x:c r="E843" s="20" t="str">
        <x:v>fresh predator approach traces</x:v>
      </x:c>
      <x:c r="F843" s="20" t="str">
        <x:v>Planned</x:v>
      </x:c>
    </x:row>
    <x:row r="844" ht="32" customHeight="1">
      <x:c r="A844" s="2" t="str">
        <x:v>F837</x:v>
      </x:c>
      <x:c r="B844" s="50" t="n">
        <x:v>11</x:v>
      </x:c>
      <x:c r="C844" s="2" t="str">
        <x:v>Event detail</x:v>
      </x:c>
      <x:c r="D844" s="19" t="str">
        <x:v>C11E04 Tessa: geometry.physical_track_inspected</x:v>
      </x:c>
      <x:c r="E844" s="58" t="b">
        <x:v>1</x:v>
      </x:c>
      <x:c r="F844" s="19" t="str">
        <x:v>Planned</x:v>
      </x:c>
    </x:row>
    <x:row r="845" ht="32" customHeight="1">
      <x:c r="A845" s="17" t="str">
        <x:v>F838</x:v>
      </x:c>
      <x:c r="B845" s="51" t="n">
        <x:v>11</x:v>
      </x:c>
      <x:c r="C845" s="17" t="str">
        <x:v>Event detail</x:v>
      </x:c>
      <x:c r="D845" s="20" t="str">
        <x:v>C11E04 Tessa: geometry.oldest_trace_minutes</x:v>
      </x:c>
      <x:c r="E845" s="61" t="n">
        <x:v>60</x:v>
      </x:c>
      <x:c r="F845" s="20" t="str">
        <x:v>Planned</x:v>
      </x:c>
    </x:row>
    <x:row r="846" ht="28" customHeight="1">
      <x:c r="A846" s="2" t="str">
        <x:v>F839</x:v>
      </x:c>
      <x:c r="B846" s="50" t="n">
        <x:v>11</x:v>
      </x:c>
      <x:c r="C846" s="2" t="str">
        <x:v>Event detail</x:v>
      </x:c>
      <x:c r="D846" s="19" t="str">
        <x:v>C11E04 Tessa: geometry.radius_m</x:v>
      </x:c>
      <x:c r="E846" s="60" t="n">
        <x:v>25</x:v>
      </x:c>
      <x:c r="F846" s="19" t="str">
        <x:v>Planned</x:v>
      </x:c>
    </x:row>
    <x:row r="847" ht="32" customHeight="1">
      <x:c r="A847" s="17" t="str">
        <x:v>F840</x:v>
      </x:c>
      <x:c r="B847" s="51" t="n">
        <x:v>11</x:v>
      </x:c>
      <x:c r="C847" s="17" t="str">
        <x:v>Event detail</x:v>
      </x:c>
      <x:c r="D847" s="20" t="str">
        <x:v>C11E04 Tessa: geometry.trace_visible_line_of_sight</x:v>
      </x:c>
      <x:c r="E847" s="59" t="b">
        <x:v>1</x:v>
      </x:c>
      <x:c r="F847" s="20" t="str">
        <x:v>Planned</x:v>
      </x:c>
    </x:row>
    <x:row r="848" ht="32" customHeight="1">
      <x:c r="A848" s="2" t="str">
        <x:v>F841</x:v>
      </x:c>
      <x:c r="B848" s="50" t="n">
        <x:v>11</x:v>
      </x:c>
      <x:c r="C848" s="2" t="str">
        <x:v>Event detail</x:v>
      </x:c>
      <x:c r="D848" s="19" t="str">
        <x:v>C11E04 Tessa: geometry.reveals_current_person_location_or_mind</x:v>
      </x:c>
      <x:c r="E848" s="58" t="b">
        <x:v>0</x:v>
      </x:c>
      <x:c r="F848" s="19" t="str">
        <x:v>Planned</x:v>
      </x:c>
    </x:row>
    <x:row r="849" ht="28" customHeight="1">
      <x:c r="A849" s="17" t="str">
        <x:v>F842</x:v>
      </x:c>
      <x:c r="B849" s="51" t="n">
        <x:v>11</x:v>
      </x:c>
      <x:c r="C849" s="17" t="str">
        <x:v>Event detail</x:v>
      </x:c>
      <x:c r="D849" s="20" t="str">
        <x:v>C11E05 Dane: target</x:v>
      </x:c>
      <x:c r="E849" s="20" t="str">
        <x:v>right-hand sword raised in front of evacuees</x:v>
      </x:c>
      <x:c r="F849" s="20" t="str">
        <x:v>Planned</x:v>
      </x:c>
    </x:row>
    <x:row r="850" ht="32" customHeight="1">
      <x:c r="A850" s="2" t="str">
        <x:v>F843</x:v>
      </x:c>
      <x:c r="B850" s="50" t="n">
        <x:v>11</x:v>
      </x:c>
      <x:c r="C850" s="2" t="str">
        <x:v>Event detail</x:v>
      </x:c>
      <x:c r="D850" s="19" t="str">
        <x:v>C11E05 Dane: geometry.weapon_raised_in_right_hand</x:v>
      </x:c>
      <x:c r="E850" s="58" t="b">
        <x:v>1</x:v>
      </x:c>
      <x:c r="F850" s="19" t="str">
        <x:v>Planned</x:v>
      </x:c>
    </x:row>
    <x:row r="851" ht="28" customHeight="1">
      <x:c r="A851" s="17" t="str">
        <x:v>F844</x:v>
      </x:c>
      <x:c r="B851" s="51" t="n">
        <x:v>11</x:v>
      </x:c>
      <x:c r="C851" s="17" t="str">
        <x:v>Event detail</x:v>
      </x:c>
      <x:c r="D851" s="20" t="str">
        <x:v>C11E05 Dane: geometry.effect_seconds</x:v>
      </x:c>
      <x:c r="E851" s="61" t="n">
        <x:v>8</x:v>
      </x:c>
      <x:c r="F851" s="20" t="str">
        <x:v>Planned</x:v>
      </x:c>
    </x:row>
    <x:row r="852" ht="32" customHeight="1">
      <x:c r="A852" s="2" t="str">
        <x:v>F845</x:v>
      </x:c>
      <x:c r="B852" s="50" t="n">
        <x:v>11</x:v>
      </x:c>
      <x:c r="C852" s="2" t="str">
        <x:v>Event detail</x:v>
      </x:c>
      <x:c r="D852" s="19" t="str">
        <x:v>C11E05 Dane: geometry.physical_attack_crosses_front</x:v>
      </x:c>
      <x:c r="E852" s="58" t="b">
        <x:v>1</x:v>
      </x:c>
      <x:c r="F852" s="19" t="str">
        <x:v>Planned</x:v>
      </x:c>
    </x:row>
    <x:row r="853" ht="32" customHeight="1">
      <x:c r="A853" s="17" t="str">
        <x:v>F846</x:v>
      </x:c>
      <x:c r="B853" s="51" t="n">
        <x:v>11</x:v>
      </x:c>
      <x:c r="C853" s="17" t="str">
        <x:v>Event detail</x:v>
      </x:c>
      <x:c r="D853" s="20" t="str">
        <x:v>C11E05 Dane: geometry.runs_or_attacks_during_effect</x:v>
      </x:c>
      <x:c r="E853" s="59" t="b">
        <x:v>0</x:v>
      </x:c>
      <x:c r="F853" s="20" t="str">
        <x:v>Planned</x:v>
      </x:c>
    </x:row>
    <x:row r="854" ht="32" customHeight="1">
      <x:c r="A854" s="2" t="str">
        <x:v>F847</x:v>
      </x:c>
      <x:c r="B854" s="50" t="n">
        <x:v>11</x:v>
      </x:c>
      <x:c r="C854" s="2" t="str">
        <x:v>Event detail</x:v>
      </x:c>
      <x:c r="D854" s="19" t="str">
        <x:v>C11E05 Dane: geometry.blocks_heat_poison_or_suffocation</x:v>
      </x:c>
      <x:c r="E854" s="58" t="b">
        <x:v>0</x:v>
      </x:c>
      <x:c r="F854" s="19" t="str">
        <x:v>Planned</x:v>
      </x:c>
    </x:row>
    <x:row r="855" ht="32" customHeight="1">
      <x:c r="A855" s="17" t="str">
        <x:v>F848</x:v>
      </x:c>
      <x:c r="B855" s="51" t="n">
        <x:v>11</x:v>
      </x:c>
      <x:c r="C855" s="17" t="str">
        <x:v>Event detail</x:v>
      </x:c>
      <x:c r="D855" s="20" t="str">
        <x:v>C11E05 Dane: geometry.reduced_force_still_can_hurt</x:v>
      </x:c>
      <x:c r="E855" s="59" t="b">
        <x:v>1</x:v>
      </x:c>
      <x:c r="F855" s="20" t="str">
        <x:v>Planned</x:v>
      </x:c>
    </x:row>
    <x:row r="856" ht="28" customHeight="1">
      <x:c r="A856" s="2" t="str">
        <x:v>F849</x:v>
      </x:c>
      <x:c r="B856" s="50" t="n">
        <x:v>11</x:v>
      </x:c>
      <x:c r="C856" s="2" t="str">
        <x:v>Event detail</x:v>
      </x:c>
      <x:c r="D856" s="19" t="str">
        <x:v>C11E07 Kip: target</x:v>
      </x:c>
      <x:c r="E856" s="19" t="str">
        <x:v>D: lever-hall anchor</x:v>
      </x:c>
      <x:c r="F856" s="19" t="str">
        <x:v>Planned</x:v>
      </x:c>
    </x:row>
    <x:row r="857" ht="28" customHeight="1">
      <x:c r="A857" s="17" t="str">
        <x:v>F850</x:v>
      </x:c>
      <x:c r="B857" s="51" t="n">
        <x:v>11</x:v>
      </x:c>
      <x:c r="C857" s="17" t="str">
        <x:v>Event detail</x:v>
      </x:c>
      <x:c r="D857" s="20" t="str">
        <x:v>C11E07 Kip: note</x:v>
      </x:c>
      <x:c r="E857" s="20" t="str">
        <x:v>18m room cleared by team; all hostiles outside; full30sec guarded contact; capacity2 retains C.</x:v>
      </x:c>
      <x:c r="F857" s="20" t="str">
        <x:v>Planned</x:v>
      </x:c>
    </x:row>
    <x:row r="858" ht="32" customHeight="1">
      <x:c r="A858" s="2" t="str">
        <x:v>F851</x:v>
      </x:c>
      <x:c r="B858" s="50" t="n">
        <x:v>11</x:v>
      </x:c>
      <x:c r="C858" s="2" t="str">
        <x:v>Event detail</x:v>
      </x:c>
      <x:c r="D858" s="19" t="str">
        <x:v>C11E07 Kip: geometry.enclosed_room_max_width_m</x:v>
      </x:c>
      <x:c r="E858" s="60" t="n">
        <x:v>18</x:v>
      </x:c>
      <x:c r="F858" s="19" t="str">
        <x:v>Planned</x:v>
      </x:c>
    </x:row>
    <x:row r="859" ht="28" customHeight="1">
      <x:c r="A859" s="17" t="str">
        <x:v>F852</x:v>
      </x:c>
      <x:c r="B859" s="51" t="n">
        <x:v>11</x:v>
      </x:c>
      <x:c r="C859" s="17" t="str">
        <x:v>Event detail</x:v>
      </x:c>
      <x:c r="D859" s="20" t="str">
        <x:v>C11E07 Kip: geometry.intact_anchor</x:v>
      </x:c>
      <x:c r="E859" s="59" t="b">
        <x:v>1</x:v>
      </x:c>
      <x:c r="F859" s="20" t="str">
        <x:v>Planned</x:v>
      </x:c>
    </x:row>
    <x:row r="860" ht="32" customHeight="1">
      <x:c r="A860" s="2" t="str">
        <x:v>F853</x:v>
      </x:c>
      <x:c r="B860" s="50" t="n">
        <x:v>11</x:v>
      </x:c>
      <x:c r="C860" s="2" t="str">
        <x:v>Event detail</x:v>
      </x:c>
      <x:c r="D860" s="19" t="str">
        <x:v>C11E07 Kip: geometry.guardian_defeated_or_none_assigned</x:v>
      </x:c>
      <x:c r="E860" s="58" t="b">
        <x:v>1</x:v>
      </x:c>
      <x:c r="F860" s="19" t="str">
        <x:v>Planned</x:v>
      </x:c>
    </x:row>
    <x:row r="861" ht="32" customHeight="1">
      <x:c r="A861" s="17" t="str">
        <x:v>F854</x:v>
      </x:c>
      <x:c r="B861" s="51" t="n">
        <x:v>11</x:v>
      </x:c>
      <x:c r="C861" s="17" t="str">
        <x:v>Event detail</x:v>
      </x:c>
      <x:c r="D861" s="20" t="str">
        <x:v>C11E07 Kip: geometry.protective_seal_removed_or_absent</x:v>
      </x:c>
      <x:c r="E861" s="59" t="b">
        <x:v>1</x:v>
      </x:c>
      <x:c r="F861" s="20" t="str">
        <x:v>Planned</x:v>
      </x:c>
    </x:row>
    <x:row r="862" ht="32" customHeight="1">
      <x:c r="A862" s="2" t="str">
        <x:v>F855</x:v>
      </x:c>
      <x:c r="B862" s="50" t="n">
        <x:v>11</x:v>
      </x:c>
      <x:c r="C862" s="2" t="str">
        <x:v>Event detail</x:v>
      </x:c>
      <x:c r="D862" s="19" t="str">
        <x:v>C11E07 Kip: geometry.living_hostiles_inside_at_start</x:v>
      </x:c>
      <x:c r="E862" s="60" t="n">
        <x:v>0</x:v>
      </x:c>
      <x:c r="F862" s="19" t="str">
        <x:v>Planned</x:v>
      </x:c>
    </x:row>
    <x:row r="863" ht="28" customHeight="1">
      <x:c r="A863" s="17" t="str">
        <x:v>F856</x:v>
      </x:c>
      <x:c r="B863" s="51" t="n">
        <x:v>11</x:v>
      </x:c>
      <x:c r="C863" s="17" t="str">
        <x:v>Event detail</x:v>
      </x:c>
      <x:c r="D863" s="20" t="str">
        <x:v>C11E07 Kip: geometry.boss_chamber</x:v>
      </x:c>
      <x:c r="E863" s="59" t="b">
        <x:v>0</x:v>
      </x:c>
      <x:c r="F863" s="20" t="str">
        <x:v>Planned</x:v>
      </x:c>
    </x:row>
    <x:row r="864" ht="28" customHeight="1">
      <x:c r="A864" s="2" t="str">
        <x:v>F857</x:v>
      </x:c>
      <x:c r="B864" s="50" t="n">
        <x:v>11</x:v>
      </x:c>
      <x:c r="C864" s="2" t="str">
        <x:v>Event detail</x:v>
      </x:c>
      <x:c r="D864" s="19" t="str">
        <x:v>C11E07 Kip: channel_seconds</x:v>
      </x:c>
      <x:c r="E864" s="60" t="n">
        <x:v>30</x:v>
      </x:c>
      <x:c r="F864" s="19" t="str">
        <x:v>Planned</x:v>
      </x:c>
    </x:row>
    <x:row r="865" ht="28" customHeight="1">
      <x:c r="A865" s="17" t="str">
        <x:v>F858</x:v>
      </x:c>
      <x:c r="B865" s="51" t="n">
        <x:v>11</x:v>
      </x:c>
      <x:c r="C865" s="17" t="str">
        <x:v>Event detail</x:v>
      </x:c>
      <x:c r="D865" s="20" t="str">
        <x:v>C11E07 Kip: outcome</x:v>
      </x:c>
      <x:c r="E865" s="20" t="str">
        <x:v>success after uninterrupted30seconds</x:v>
      </x:c>
      <x:c r="F865" s="20" t="str">
        <x:v>Planned</x:v>
      </x:c>
    </x:row>
    <x:row r="866" ht="28" customHeight="1">
      <x:c r="A866" s="2" t="str">
        <x:v>F859</x:v>
      </x:c>
      <x:c r="B866" s="50" t="n">
        <x:v>11</x:v>
      </x:c>
      <x:c r="C866" s="2" t="str">
        <x:v>Event detail</x:v>
      </x:c>
      <x:c r="D866" s="19" t="str">
        <x:v>C11E08 Kip: note</x:v>
      </x:c>
      <x:c r="E866" s="19" t="str">
        <x:v>Protected, seated, no casting/movement/attack; another awake person keeps watch.</x:v>
      </x:c>
      <x:c r="F866" s="19" t="str">
        <x:v>Planned</x:v>
      </x:c>
    </x:row>
    <x:row r="867" ht="28" customHeight="1">
      <x:c r="A867" s="17" t="str">
        <x:v>F860</x:v>
      </x:c>
      <x:c r="B867" s="51" t="n">
        <x:v>11</x:v>
      </x:c>
      <x:c r="C867" s="17" t="str">
        <x:v>Event detail</x:v>
      </x:c>
      <x:c r="D867" s="20" t="str">
        <x:v>C11E08 Kip: ends</x:v>
      </x:c>
      <x:c r="E867" s="20" t="str">
        <x:v>Day 2 15:38:00</x:v>
      </x:c>
      <x:c r="F867" s="20" t="str">
        <x:v>Planned</x:v>
      </x:c>
    </x:row>
    <x:row r="868" ht="28" customHeight="1">
      <x:c r="A868" s="2" t="str">
        <x:v>F861</x:v>
      </x:c>
      <x:c r="B868" s="50" t="n">
        <x:v>11</x:v>
      </x:c>
      <x:c r="C868" s="2" t="str">
        <x:v>Event detail</x:v>
      </x:c>
      <x:c r="D868" s="19" t="str">
        <x:v>C11E09 Tessa: note</x:v>
      </x:c>
      <x:c r="E868" s="19" t="str">
        <x:v>Protected, seated, no casting/movement/attack; another awake person keeps watch.</x:v>
      </x:c>
      <x:c r="F868" s="19" t="str">
        <x:v>Planned</x:v>
      </x:c>
    </x:row>
    <x:row r="869" ht="28" customHeight="1">
      <x:c r="A869" s="17" t="str">
        <x:v>F862</x:v>
      </x:c>
      <x:c r="B869" s="51" t="n">
        <x:v>11</x:v>
      </x:c>
      <x:c r="C869" s="17" t="str">
        <x:v>Event detail</x:v>
      </x:c>
      <x:c r="D869" s="20" t="str">
        <x:v>C11E09 Tessa: ends</x:v>
      </x:c>
      <x:c r="E869" s="20" t="str">
        <x:v>Day 2 15:35:00</x:v>
      </x:c>
      <x:c r="F869" s="20" t="str">
        <x:v>Planned</x:v>
      </x:c>
    </x:row>
    <x:row r="870" ht="28" customHeight="1">
      <x:c r="A870" s="2" t="str">
        <x:v>F863</x:v>
      </x:c>
      <x:c r="B870" s="50" t="n">
        <x:v>11</x:v>
      </x:c>
      <x:c r="C870" s="2" t="str">
        <x:v>Event detail</x:v>
      </x:c>
      <x:c r="D870" s="19" t="str">
        <x:v>C11E10 Owen: note</x:v>
      </x:c>
      <x:c r="E870" s="19" t="str">
        <x:v>Protected, seated, no casting/movement/attack; another awake person keeps watch.</x:v>
      </x:c>
      <x:c r="F870" s="19" t="str">
        <x:v>Planned</x:v>
      </x:c>
    </x:row>
    <x:row r="871" ht="28" customHeight="1">
      <x:c r="A871" s="17" t="str">
        <x:v>F864</x:v>
      </x:c>
      <x:c r="B871" s="51" t="n">
        <x:v>11</x:v>
      </x:c>
      <x:c r="C871" s="17" t="str">
        <x:v>Event detail</x:v>
      </x:c>
      <x:c r="D871" s="20" t="str">
        <x:v>C11E10 Owen: ends</x:v>
      </x:c>
      <x:c r="E871" s="20" t="str">
        <x:v>Day 2 15:31:00</x:v>
      </x:c>
      <x:c r="F871" s="20" t="str">
        <x:v>Planned</x:v>
      </x:c>
    </x:row>
    <x:row r="872" ht="28" customHeight="1">
      <x:c r="A872" s="2" t="str">
        <x:v>F865</x:v>
      </x:c>
      <x:c r="B872" s="50" t="n">
        <x:v>11</x:v>
      </x:c>
      <x:c r="C872" s="2" t="str">
        <x:v>Event detail</x:v>
      </x:c>
      <x:c r="D872" s="19" t="str">
        <x:v>C11E11 Dane: note</x:v>
      </x:c>
      <x:c r="E872" s="19" t="str">
        <x:v>Protected, seated, no casting/movement/attack; another awake person keeps watch.</x:v>
      </x:c>
      <x:c r="F872" s="19" t="str">
        <x:v>Planned</x:v>
      </x:c>
    </x:row>
    <x:row r="873" ht="28" customHeight="1">
      <x:c r="A873" s="17" t="str">
        <x:v>F866</x:v>
      </x:c>
      <x:c r="B873" s="51" t="n">
        <x:v>11</x:v>
      </x:c>
      <x:c r="C873" s="17" t="str">
        <x:v>Event detail</x:v>
      </x:c>
      <x:c r="D873" s="20" t="str">
        <x:v>C11E11 Dane: ends</x:v>
      </x:c>
      <x:c r="E873" s="20" t="str">
        <x:v>Day 2 15:38:00</x:v>
      </x:c>
      <x:c r="F873" s="20" t="str">
        <x:v>Planned</x:v>
      </x:c>
    </x:row>
    <x:row r="874" ht="28" customHeight="1">
      <x:c r="A874" s="2" t="str">
        <x:v>F867</x:v>
      </x:c>
      <x:c r="B874" s="50" t="n">
        <x:v>12</x:v>
      </x:c>
      <x:c r="C874" s="2" t="str">
        <x:v>Event detail</x:v>
      </x:c>
      <x:c r="D874" s="19" t="str">
        <x:v>C12E01 Tessa: target</x:v>
      </x:c>
      <x:c r="E874" s="19" t="str">
        <x:v>conditioned hunter traces</x:v>
      </x:c>
      <x:c r="F874" s="19" t="str">
        <x:v>Planned</x:v>
      </x:c>
    </x:row>
    <x:row r="875" ht="32" customHeight="1">
      <x:c r="A875" s="17" t="str">
        <x:v>F868</x:v>
      </x:c>
      <x:c r="B875" s="51" t="n">
        <x:v>12</x:v>
      </x:c>
      <x:c r="C875" s="17" t="str">
        <x:v>Event detail</x:v>
      </x:c>
      <x:c r="D875" s="20" t="str">
        <x:v>C12E01 Tessa: geometry.physical_track_inspected</x:v>
      </x:c>
      <x:c r="E875" s="59" t="b">
        <x:v>1</x:v>
      </x:c>
      <x:c r="F875" s="20" t="str">
        <x:v>Planned</x:v>
      </x:c>
    </x:row>
    <x:row r="876" ht="32" customHeight="1">
      <x:c r="A876" s="2" t="str">
        <x:v>F869</x:v>
      </x:c>
      <x:c r="B876" s="50" t="n">
        <x:v>12</x:v>
      </x:c>
      <x:c r="C876" s="2" t="str">
        <x:v>Event detail</x:v>
      </x:c>
      <x:c r="D876" s="19" t="str">
        <x:v>C12E01 Tessa: geometry.oldest_trace_minutes</x:v>
      </x:c>
      <x:c r="E876" s="60" t="n">
        <x:v>60</x:v>
      </x:c>
      <x:c r="F876" s="19" t="str">
        <x:v>Planned</x:v>
      </x:c>
    </x:row>
    <x:row r="877" ht="28" customHeight="1">
      <x:c r="A877" s="17" t="str">
        <x:v>F870</x:v>
      </x:c>
      <x:c r="B877" s="51" t="n">
        <x:v>12</x:v>
      </x:c>
      <x:c r="C877" s="17" t="str">
        <x:v>Event detail</x:v>
      </x:c>
      <x:c r="D877" s="20" t="str">
        <x:v>C12E01 Tessa: geometry.radius_m</x:v>
      </x:c>
      <x:c r="E877" s="61" t="n">
        <x:v>25</x:v>
      </x:c>
      <x:c r="F877" s="20" t="str">
        <x:v>Planned</x:v>
      </x:c>
    </x:row>
    <x:row r="878" ht="32" customHeight="1">
      <x:c r="A878" s="2" t="str">
        <x:v>F871</x:v>
      </x:c>
      <x:c r="B878" s="50" t="n">
        <x:v>12</x:v>
      </x:c>
      <x:c r="C878" s="2" t="str">
        <x:v>Event detail</x:v>
      </x:c>
      <x:c r="D878" s="19" t="str">
        <x:v>C12E01 Tessa: geometry.trace_visible_line_of_sight</x:v>
      </x:c>
      <x:c r="E878" s="58" t="b">
        <x:v>1</x:v>
      </x:c>
      <x:c r="F878" s="19" t="str">
        <x:v>Planned</x:v>
      </x:c>
    </x:row>
    <x:row r="879" ht="32" customHeight="1">
      <x:c r="A879" s="17" t="str">
        <x:v>F872</x:v>
      </x:c>
      <x:c r="B879" s="51" t="n">
        <x:v>12</x:v>
      </x:c>
      <x:c r="C879" s="17" t="str">
        <x:v>Event detail</x:v>
      </x:c>
      <x:c r="D879" s="20" t="str">
        <x:v>C12E01 Tessa: geometry.reveals_current_person_location_or_mind</x:v>
      </x:c>
      <x:c r="E879" s="59" t="b">
        <x:v>0</x:v>
      </x:c>
      <x:c r="F879" s="20" t="str">
        <x:v>Planned</x:v>
      </x:c>
    </x:row>
    <x:row r="880" ht="28" customHeight="1">
      <x:c r="A880" s="2" t="str">
        <x:v>F873</x:v>
      </x:c>
      <x:c r="B880" s="50" t="n">
        <x:v>12</x:v>
      </x:c>
      <x:c r="C880" s="2" t="str">
        <x:v>Event detail</x:v>
      </x:c>
      <x:c r="D880" s="19" t="str">
        <x:v>C12E02 Tessa: target</x:v>
      </x:c>
      <x:c r="E880" s="19" t="str">
        <x:v>clear garden path</x:v>
      </x:c>
      <x:c r="F880" s="19" t="str">
        <x:v>Planned</x:v>
      </x:c>
    </x:row>
    <x:row r="881" ht="28" customHeight="1">
      <x:c r="A881" s="17" t="str">
        <x:v>F874</x:v>
      </x:c>
      <x:c r="B881" s="51" t="n">
        <x:v>12</x:v>
      </x:c>
      <x:c r="C881" s="17" t="str">
        <x:v>Event detail</x:v>
      </x:c>
      <x:c r="D881" s="20" t="str">
        <x:v>C12E02 Tessa: geometry.path_length_m</x:v>
      </x:c>
      <x:c r="E881" s="61" t="n">
        <x:v>8</x:v>
      </x:c>
      <x:c r="F881" s="20" t="str">
        <x:v>Planned</x:v>
      </x:c>
    </x:row>
    <x:row r="882" ht="32" customHeight="1">
      <x:c r="A882" s="2" t="str">
        <x:v>F875</x:v>
      </x:c>
      <x:c r="B882" s="50" t="n">
        <x:v>12</x:v>
      </x:c>
      <x:c r="C882" s="2" t="str">
        <x:v>Event detail</x:v>
      </x:c>
      <x:c r="D882" s="19" t="str">
        <x:v>C12E02 Tessa: geometry.visible_traversable_physical_path</x:v>
      </x:c>
      <x:c r="E882" s="58" t="b">
        <x:v>1</x:v>
      </x:c>
      <x:c r="F882" s="19" t="str">
        <x:v>Planned</x:v>
      </x:c>
    </x:row>
    <x:row r="883" ht="32" customHeight="1">
      <x:c r="A883" s="17" t="str">
        <x:v>F876</x:v>
      </x:c>
      <x:c r="B883" s="51" t="n">
        <x:v>12</x:v>
      </x:c>
      <x:c r="C883" s="17" t="str">
        <x:v>Event detail</x:v>
      </x:c>
      <x:c r="D883" s="20" t="str">
        <x:v>C12E02 Tessa: geometry.passes_through_creature_wall_or_restraint</x:v>
      </x:c>
      <x:c r="E883" s="59" t="b">
        <x:v>0</x:v>
      </x:c>
      <x:c r="F883" s="20" t="str">
        <x:v>Planned</x:v>
      </x:c>
    </x:row>
    <x:row r="884" ht="32" customHeight="1">
      <x:c r="A884" s="2" t="str">
        <x:v>F877</x:v>
      </x:c>
      <x:c r="B884" s="50" t="n">
        <x:v>12</x:v>
      </x:c>
      <x:c r="C884" s="2" t="str">
        <x:v>Event detail</x:v>
      </x:c>
      <x:c r="D884" s="19" t="str">
        <x:v>C12E02 Tessa: geometry.carries_another_adult</x:v>
      </x:c>
      <x:c r="E884" s="58" t="b">
        <x:v>0</x:v>
      </x:c>
      <x:c r="F884" s="19" t="str">
        <x:v>Planned</x:v>
      </x:c>
    </x:row>
    <x:row r="885" ht="32" customHeight="1">
      <x:c r="A885" s="17" t="str">
        <x:v>F878</x:v>
      </x:c>
      <x:c r="B885" s="51" t="n">
        <x:v>12</x:v>
      </x:c>
      <x:c r="C885" s="17" t="str">
        <x:v>Event detail</x:v>
      </x:c>
      <x:c r="D885" s="20" t="str">
        <x:v>C12E02 Tessa: geometry.crosses_otherwise_impossible_gap</x:v>
      </x:c>
      <x:c r="E885" s="59" t="b">
        <x:v>0</x:v>
      </x:c>
      <x:c r="F885" s="20" t="str">
        <x:v>Planned</x:v>
      </x:c>
    </x:row>
    <x:row r="886" ht="32" customHeight="1">
      <x:c r="A886" s="2" t="str">
        <x:v>F879</x:v>
      </x:c>
      <x:c r="B886" s="50" t="n">
        <x:v>12</x:v>
      </x:c>
      <x:c r="C886" s="2" t="str">
        <x:v>Event detail</x:v>
      </x:c>
      <x:c r="D886" s="19" t="str">
        <x:v>C12E02 Tessa: geometry.hazard_immunity_assumed</x:v>
      </x:c>
      <x:c r="E886" s="58" t="b">
        <x:v>0</x:v>
      </x:c>
      <x:c r="F886" s="19" t="str">
        <x:v>Planned</x:v>
      </x:c>
    </x:row>
    <x:row r="887" ht="28" customHeight="1">
      <x:c r="A887" s="17" t="str">
        <x:v>F880</x:v>
      </x:c>
      <x:c r="B887" s="51" t="n">
        <x:v>12</x:v>
      </x:c>
      <x:c r="C887" s="17" t="str">
        <x:v>Event detail</x:v>
      </x:c>
      <x:c r="D887" s="20" t="str">
        <x:v>C12E03 Kip: target</x:v>
      </x:c>
      <x:c r="E887" s="20" t="str">
        <x:v>garden first defensive jet</x:v>
      </x:c>
      <x:c r="F887" s="20" t="str">
        <x:v>Planned</x:v>
      </x:c>
    </x:row>
    <x:row r="888" ht="28" customHeight="1">
      <x:c r="A888" s="2" t="str">
        <x:v>F881</x:v>
      </x:c>
      <x:c r="B888" s="50" t="n">
        <x:v>12</x:v>
      </x:c>
      <x:c r="C888" s="2" t="str">
        <x:v>Event detail</x:v>
      </x:c>
      <x:c r="D888" s="19" t="str">
        <x:v>C12E03 Kip: note</x:v>
      </x:c>
      <x:c r="E888" s="19" t="str">
        <x:v>Available, visible at9m.</x:v>
      </x:c>
      <x:c r="F888" s="19" t="str">
        <x:v>Planned</x:v>
      </x:c>
    </x:row>
    <x:row r="889" ht="28" customHeight="1">
      <x:c r="A889" s="17" t="str">
        <x:v>F882</x:v>
      </x:c>
      <x:c r="B889" s="51" t="n">
        <x:v>12</x:v>
      </x:c>
      <x:c r="C889" s="17" t="str">
        <x:v>Event detail</x:v>
      </x:c>
      <x:c r="D889" s="20" t="str">
        <x:v>C12E03 Kip: control_seconds</x:v>
      </x:c>
      <x:c r="E889" s="61" t="n">
        <x:v>5</x:v>
      </x:c>
      <x:c r="F889" s="20" t="str">
        <x:v>Planned</x:v>
      </x:c>
    </x:row>
    <x:row r="890" ht="28" customHeight="1">
      <x:c r="A890" s="2" t="str">
        <x:v>F883</x:v>
      </x:c>
      <x:c r="B890" s="50" t="n">
        <x:v>12</x:v>
      </x:c>
      <x:c r="C890" s="2" t="str">
        <x:v>Event detail</x:v>
      </x:c>
      <x:c r="D890" s="19" t="str">
        <x:v>C12E03 Kip: geometry.distance_m</x:v>
      </x:c>
      <x:c r="E890" s="60" t="n">
        <x:v>9</x:v>
      </x:c>
      <x:c r="F890" s="19" t="str">
        <x:v>Planned</x:v>
      </x:c>
    </x:row>
    <x:row r="891" ht="32" customHeight="1">
      <x:c r="A891" s="17" t="str">
        <x:v>F884</x:v>
      </x:c>
      <x:c r="B891" s="51" t="n">
        <x:v>12</x:v>
      </x:c>
      <x:c r="C891" s="17" t="str">
        <x:v>Event detail</x:v>
      </x:c>
      <x:c r="D891" s="20" t="str">
        <x:v>C12E03 Kip: geometry.prior_sight_distance_m</x:v>
      </x:c>
      <x:c r="E891" s="61" t="n">
        <x:v>9</x:v>
      </x:c>
      <x:c r="F891" s="20" t="str">
        <x:v>Planned</x:v>
      </x:c>
    </x:row>
    <x:row r="892" ht="32" customHeight="1">
      <x:c r="A892" s="2" t="str">
        <x:v>F885</x:v>
      </x:c>
      <x:c r="B892" s="50" t="n">
        <x:v>12</x:v>
      </x:c>
      <x:c r="C892" s="2" t="str">
        <x:v>Event detail</x:v>
      </x:c>
      <x:c r="D892" s="19" t="str">
        <x:v>C12E03 Kip: geometry.prior_sight_attention_seconds</x:v>
      </x:c>
      <x:c r="E892" s="60" t="n">
        <x:v>1</x:v>
      </x:c>
      <x:c r="F892" s="19" t="str">
        <x:v>Planned</x:v>
      </x:c>
    </x:row>
    <x:row r="893" ht="28" customHeight="1">
      <x:c r="A893" s="17" t="str">
        <x:v>F886</x:v>
      </x:c>
      <x:c r="B893" s="51" t="n">
        <x:v>12</x:v>
      </x:c>
      <x:c r="C893" s="17" t="str">
        <x:v>Event detail</x:v>
      </x:c>
      <x:c r="D893" s="20" t="str">
        <x:v>C12E03 Kip: geometry.visible_at_start</x:v>
      </x:c>
      <x:c r="E893" s="59" t="b">
        <x:v>1</x:v>
      </x:c>
      <x:c r="F893" s="20" t="str">
        <x:v>Planned</x:v>
      </x:c>
    </x:row>
    <x:row r="894" ht="32" customHeight="1">
      <x:c r="A894" s="2" t="str">
        <x:v>F887</x:v>
      </x:c>
      <x:c r="B894" s="50" t="n">
        <x:v>12</x:v>
      </x:c>
      <x:c r="C894" s="2" t="str">
        <x:v>Event detail</x:v>
      </x:c>
      <x:c r="D894" s="19" t="str">
        <x:v>C12E03 Kip: geometry.available_at_start</x:v>
      </x:c>
      <x:c r="E894" s="58" t="b">
        <x:v>1</x:v>
      </x:c>
      <x:c r="F894" s="19" t="str">
        <x:v>Planned</x:v>
      </x:c>
    </x:row>
    <x:row r="895" ht="32" customHeight="1">
      <x:c r="A895" s="17" t="str">
        <x:v>F888</x:v>
      </x:c>
      <x:c r="B895" s="51" t="n">
        <x:v>12</x:v>
      </x:c>
      <x:c r="C895" s="17" t="str">
        <x:v>Event detail</x:v>
      </x:c>
      <x:c r="D895" s="20" t="str">
        <x:v>C12E03 Kip: geometry.within_normal_mechanical_arc</x:v>
      </x:c>
      <x:c r="E895" s="59" t="b">
        <x:v>1</x:v>
      </x:c>
      <x:c r="F895" s="20" t="str">
        <x:v>Planned</x:v>
      </x:c>
    </x:row>
    <x:row r="896" ht="28" customHeight="1">
      <x:c r="A896" s="2" t="str">
        <x:v>F889</x:v>
      </x:c>
      <x:c r="B896" s="50" t="n">
        <x:v>12</x:v>
      </x:c>
      <x:c r="C896" s="2" t="str">
        <x:v>Event detail</x:v>
      </x:c>
      <x:c r="D896" s="19" t="str">
        <x:v>C12E03 Kip: geometry.ready_at_start</x:v>
      </x:c>
      <x:c r="E896" s="58" t="b">
        <x:v>1</x:v>
      </x:c>
      <x:c r="F896" s="19" t="str">
        <x:v>Planned</x:v>
      </x:c>
    </x:row>
    <x:row r="897" ht="32" customHeight="1">
      <x:c r="A897" s="17" t="str">
        <x:v>F890</x:v>
      </x:c>
      <x:c r="B897" s="51" t="n">
        <x:v>12</x:v>
      </x:c>
      <x:c r="C897" s="17" t="str">
        <x:v>Event detail</x:v>
      </x:c>
      <x:c r="D897" s="20" t="str">
        <x:v>C12E03 Kip: geometry.target_is_constructed_fixture</x:v>
      </x:c>
      <x:c r="E897" s="59" t="b">
        <x:v>1</x:v>
      </x:c>
      <x:c r="F897" s="20" t="str">
        <x:v>Planned</x:v>
      </x:c>
    </x:row>
    <x:row r="898" ht="32" customHeight="1">
      <x:c r="A898" s="2" t="str">
        <x:v>F891</x:v>
      </x:c>
      <x:c r="B898" s="50" t="n">
        <x:v>12</x:v>
      </x:c>
      <x:c r="C898" s="2" t="str">
        <x:v>Event detail</x:v>
      </x:c>
      <x:c r="D898" s="19" t="str">
        <x:v>C12E03 Kip: geometry.shield_removed_physically_if_any</x:v>
      </x:c>
      <x:c r="E898" s="58" t="b">
        <x:v>1</x:v>
      </x:c>
      <x:c r="F898" s="19" t="str">
        <x:v>Planned</x:v>
      </x:c>
    </x:row>
    <x:row r="899" ht="28" customHeight="1">
      <x:c r="A899" s="17" t="str">
        <x:v>F892</x:v>
      </x:c>
      <x:c r="B899" s="51" t="n">
        <x:v>12</x:v>
      </x:c>
      <x:c r="C899" s="17" t="str">
        <x:v>Event detail</x:v>
      </x:c>
      <x:c r="D899" s="20" t="str">
        <x:v>C12E03 Kip: outcome</x:v>
      </x:c>
      <x:c r="E899" s="20" t="str">
        <x:v>ordinary legal fixture function, no strengthened output</x:v>
      </x:c>
      <x:c r="F899" s="20" t="str">
        <x:v>Planned</x:v>
      </x:c>
    </x:row>
    <x:row r="900" ht="28" customHeight="1">
      <x:c r="A900" s="2" t="str">
        <x:v>F893</x:v>
      </x:c>
      <x:c r="B900" s="50" t="n">
        <x:v>12</x:v>
      </x:c>
      <x:c r="C900" s="2" t="str">
        <x:v>Event detail</x:v>
      </x:c>
      <x:c r="D900" s="19" t="str">
        <x:v>C12E04 Dane: target</x:v>
      </x:c>
      <x:c r="E900" s="19" t="str">
        <x:v>Owen within8m</x:v>
      </x:c>
      <x:c r="F900" s="19" t="str">
        <x:v>Planned</x:v>
      </x:c>
    </x:row>
    <x:row r="901" ht="28" customHeight="1">
      <x:c r="A901" s="17" t="str">
        <x:v>F894</x:v>
      </x:c>
      <x:c r="B901" s="51" t="n">
        <x:v>12</x:v>
      </x:c>
      <x:c r="C901" s="17" t="str">
        <x:v>Event detail</x:v>
      </x:c>
      <x:c r="D901" s="20" t="str">
        <x:v>C12E04 Dane: geometry.path_length_m</x:v>
      </x:c>
      <x:c r="E901" s="61" t="n">
        <x:v>6</x:v>
      </x:c>
      <x:c r="F901" s="20" t="str">
        <x:v>Planned</x:v>
      </x:c>
    </x:row>
    <x:row r="902" ht="28" customHeight="1">
      <x:c r="A902" s="2" t="str">
        <x:v>F895</x:v>
      </x:c>
      <x:c r="B902" s="50" t="n">
        <x:v>12</x:v>
      </x:c>
      <x:c r="C902" s="2" t="str">
        <x:v>Event detail</x:v>
      </x:c>
      <x:c r="D902" s="19" t="str">
        <x:v>C12E04 Dane: geometry.visible_ally</x:v>
      </x:c>
      <x:c r="E902" s="58" t="b">
        <x:v>1</x:v>
      </x:c>
      <x:c r="F902" s="19" t="str">
        <x:v>Planned</x:v>
      </x:c>
    </x:row>
    <x:row r="903" ht="32" customHeight="1">
      <x:c r="A903" s="17" t="str">
        <x:v>F896</x:v>
      </x:c>
      <x:c r="B903" s="51" t="n">
        <x:v>12</x:v>
      </x:c>
      <x:c r="C903" s="17" t="str">
        <x:v>Event detail</x:v>
      </x:c>
      <x:c r="D903" s="20" t="str">
        <x:v>C12E04 Dane: geometry.clear_physical_path</x:v>
      </x:c>
      <x:c r="E903" s="59" t="b">
        <x:v>1</x:v>
      </x:c>
      <x:c r="F903" s="20" t="str">
        <x:v>Planned</x:v>
      </x:c>
    </x:row>
    <x:row r="904" ht="32" customHeight="1">
      <x:c r="A904" s="2" t="str">
        <x:v>F897</x:v>
      </x:c>
      <x:c r="B904" s="50" t="n">
        <x:v>12</x:v>
      </x:c>
      <x:c r="C904" s="2" t="str">
        <x:v>Event detail</x:v>
      </x:c>
      <x:c r="D904" s="19" t="str">
        <x:v>C12E04 Dane: geometry.functional_weapon_in_right_hand</x:v>
      </x:c>
      <x:c r="E904" s="58" t="b">
        <x:v>1</x:v>
      </x:c>
      <x:c r="F904" s="19" t="str">
        <x:v>Planned</x:v>
      </x:c>
    </x:row>
    <x:row r="905" ht="32" customHeight="1">
      <x:c r="A905" s="17" t="str">
        <x:v>F898</x:v>
      </x:c>
      <x:c r="B905" s="51" t="n">
        <x:v>12</x:v>
      </x:c>
      <x:c r="C905" s="17" t="str">
        <x:v>Event detail</x:v>
      </x:c>
      <x:c r="D905" s="20" t="str">
        <x:v>C12E04 Dane: geometry.uses_enhanced_block</x:v>
      </x:c>
      <x:c r="E905" s="59" t="b">
        <x:v>1</x:v>
      </x:c>
      <x:c r="F905" s="20" t="str">
        <x:v>Planned</x:v>
      </x:c>
    </x:row>
    <x:row r="906" ht="32" customHeight="1">
      <x:c r="A906" s="2" t="str">
        <x:v>F899</x:v>
      </x:c>
      <x:c r="B906" s="50" t="n">
        <x:v>12</x:v>
      </x:c>
      <x:c r="C906" s="2" t="str">
        <x:v>Event detail</x:v>
      </x:c>
      <x:c r="D906" s="19" t="str">
        <x:v>C12E04 Dane: geometry.block_seconds_after_activation</x:v>
      </x:c>
      <x:c r="E906" s="60" t="n">
        <x:v>1</x:v>
      </x:c>
      <x:c r="F906" s="19" t="str">
        <x:v>Planned</x:v>
      </x:c>
    </x:row>
    <x:row r="907" ht="32" customHeight="1">
      <x:c r="A907" s="17" t="str">
        <x:v>F900</x:v>
      </x:c>
      <x:c r="B907" s="51" t="n">
        <x:v>12</x:v>
      </x:c>
      <x:c r="C907" s="17" t="str">
        <x:v>Event detail</x:v>
      </x:c>
      <x:c r="D907" s="20" t="str">
        <x:v>C12E04 Dane: geometry.parryable_physical_attack</x:v>
      </x:c>
      <x:c r="E907" s="59" t="b">
        <x:v>1</x:v>
      </x:c>
      <x:c r="F907" s="20" t="str">
        <x:v>Planned</x:v>
      </x:c>
    </x:row>
    <x:row r="908" ht="32" customHeight="1">
      <x:c r="A908" s="2" t="str">
        <x:v>F901</x:v>
      </x:c>
      <x:c r="B908" s="50" t="n">
        <x:v>12</x:v>
      </x:c>
      <x:c r="C908" s="2" t="str">
        <x:v>Event detail</x:v>
      </x:c>
      <x:c r="D908" s="19" t="str">
        <x:v>C12E04 Dane: geometry.all_direction_protection_assumed</x:v>
      </x:c>
      <x:c r="E908" s="58" t="b">
        <x:v>0</x:v>
      </x:c>
      <x:c r="F908" s="19" t="str">
        <x:v>Planned</x:v>
      </x:c>
    </x:row>
    <x:row r="909" ht="28" customHeight="1">
      <x:c r="A909" s="17" t="str">
        <x:v>F902</x:v>
      </x:c>
      <x:c r="B909" s="51" t="n">
        <x:v>12</x:v>
      </x:c>
      <x:c r="C909" s="17" t="str">
        <x:v>Event detail</x:v>
      </x:c>
      <x:c r="D909" s="20" t="str">
        <x:v>C12E05 Kip: target</x:v>
      </x:c>
      <x:c r="E909" s="20" t="str">
        <x:v>physical hunter lunge lane</x:v>
      </x:c>
      <x:c r="F909" s="20" t="str">
        <x:v>Planned</x:v>
      </x:c>
    </x:row>
    <x:row r="910" ht="28" customHeight="1">
      <x:c r="A910" s="2" t="str">
        <x:v>F903</x:v>
      </x:c>
      <x:c r="B910" s="50" t="n">
        <x:v>12</x:v>
      </x:c>
      <x:c r="C910" s="2" t="str">
        <x:v>Event detail</x:v>
      </x:c>
      <x:c r="D910" s="19" t="str">
        <x:v>C12E05 Kip: setup_seconds</x:v>
      </x:c>
      <x:c r="E910" s="60" t="n">
        <x:v>2</x:v>
      </x:c>
      <x:c r="F910" s="19" t="str">
        <x:v>Planned</x:v>
      </x:c>
    </x:row>
    <x:row r="911" ht="32" customHeight="1">
      <x:c r="A911" s="17" t="str">
        <x:v>F904</x:v>
      </x:c>
      <x:c r="B911" s="51" t="n">
        <x:v>12</x:v>
      </x:c>
      <x:c r="C911" s="17" t="str">
        <x:v>Event detail</x:v>
      </x:c>
      <x:c r="D911" s="20" t="str">
        <x:v>C12E05 Kip: physical_impact_seconds_after_start</x:v>
      </x:c>
      <x:c r="E911" s="61" t="n">
        <x:v>8</x:v>
      </x:c>
      <x:c r="F911" s="20" t="str">
        <x:v>Planned</x:v>
      </x:c>
    </x:row>
    <x:row r="912" ht="28" customHeight="1">
      <x:c r="A912" s="2" t="str">
        <x:v>F905</x:v>
      </x:c>
      <x:c r="B912" s="50" t="n">
        <x:v>12</x:v>
      </x:c>
      <x:c r="C912" s="2" t="str">
        <x:v>Event detail</x:v>
      </x:c>
      <x:c r="D912" s="19" t="str">
        <x:v>C12E05 Kip: geometry.clear_ground</x:v>
      </x:c>
      <x:c r="E912" s="58" t="b">
        <x:v>1</x:v>
      </x:c>
      <x:c r="F912" s="19" t="str">
        <x:v>Planned</x:v>
      </x:c>
    </x:row>
    <x:row r="913" ht="28" customHeight="1">
      <x:c r="A913" s="17" t="str">
        <x:v>F906</x:v>
      </x:c>
      <x:c r="B913" s="51" t="n">
        <x:v>12</x:v>
      </x:c>
      <x:c r="C913" s="17" t="str">
        <x:v>Event detail</x:v>
      </x:c>
      <x:c r="D913" s="20" t="str">
        <x:v>C12E05 Kip: geometry.within_3m</x:v>
      </x:c>
      <x:c r="E913" s="59" t="b">
        <x:v>1</x:v>
      </x:c>
      <x:c r="F913" s="20" t="str">
        <x:v>Planned</x:v>
      </x:c>
    </x:row>
    <x:row r="914" ht="28" customHeight="1">
      <x:c r="A914" s="2" t="str">
        <x:v>F907</x:v>
      </x:c>
      <x:c r="B914" s="50" t="n">
        <x:v>12</x:v>
      </x:c>
      <x:c r="C914" s="2" t="str">
        <x:v>Event detail</x:v>
      </x:c>
      <x:c r="D914" s="19" t="str">
        <x:v>C12E05 Kip: geometry.upright_2m_square</x:v>
      </x:c>
      <x:c r="E914" s="58" t="b">
        <x:v>1</x:v>
      </x:c>
      <x:c r="F914" s="19" t="str">
        <x:v>Planned</x:v>
      </x:c>
    </x:row>
    <x:row r="915" ht="28" customHeight="1">
      <x:c r="A915" s="17" t="str">
        <x:v>F908</x:v>
      </x:c>
      <x:c r="B915" s="51" t="n">
        <x:v>12</x:v>
      </x:c>
      <x:c r="C915" s="17" t="str">
        <x:v>Event detail</x:v>
      </x:c>
      <x:c r="D915" s="20" t="str">
        <x:v>C12E05 Kip: geometry.stationary</x:v>
      </x:c>
      <x:c r="E915" s="59" t="b">
        <x:v>1</x:v>
      </x:c>
      <x:c r="F915" s="20" t="str">
        <x:v>Planned</x:v>
      </x:c>
    </x:row>
    <x:row r="916" ht="32" customHeight="1">
      <x:c r="A916" s="2" t="str">
        <x:v>F909</x:v>
      </x:c>
      <x:c r="B916" s="50" t="n">
        <x:v>12</x:v>
      </x:c>
      <x:c r="C916" s="2" t="str">
        <x:v>Event detail</x:v>
      </x:c>
      <x:c r="D916" s="19" t="str">
        <x:v>C12E05 Kip: geometry.physical_impact_crosses_front</x:v>
      </x:c>
      <x:c r="E916" s="58" t="b">
        <x:v>1</x:v>
      </x:c>
      <x:c r="F916" s="19" t="str">
        <x:v>Planned</x:v>
      </x:c>
    </x:row>
    <x:row r="917" ht="32" customHeight="1">
      <x:c r="A917" s="17" t="str">
        <x:v>F910</x:v>
      </x:c>
      <x:c r="B917" s="51" t="n">
        <x:v>12</x:v>
      </x:c>
      <x:c r="C917" s="17" t="str">
        <x:v>Event detail</x:v>
      </x:c>
      <x:c r="D917" s="20" t="str">
        <x:v>C12E05 Kip: geometry.blocks_heat_or_water</x:v>
      </x:c>
      <x:c r="E917" s="59" t="b">
        <x:v>0</x:v>
      </x:c>
      <x:c r="F917" s="20" t="str">
        <x:v>Planned</x:v>
      </x:c>
    </x:row>
    <x:row r="918" ht="28" customHeight="1">
      <x:c r="A918" s="2" t="str">
        <x:v>F911</x:v>
      </x:c>
      <x:c r="B918" s="50" t="n">
        <x:v>12</x:v>
      </x:c>
      <x:c r="C918" s="2" t="str">
        <x:v>Event detail</x:v>
      </x:c>
      <x:c r="D918" s="19" t="str">
        <x:v>C12E06 Dane: target</x:v>
      </x:c>
      <x:c r="E918" s="19" t="str">
        <x:v>front of retreat</x:v>
      </x:c>
      <x:c r="F918" s="19" t="str">
        <x:v>Planned</x:v>
      </x:c>
    </x:row>
    <x:row r="919" ht="28" customHeight="1">
      <x:c r="A919" s="17" t="str">
        <x:v>F912</x:v>
      </x:c>
      <x:c r="B919" s="51" t="n">
        <x:v>12</x:v>
      </x:c>
      <x:c r="C919" s="17" t="str">
        <x:v>Event detail</x:v>
      </x:c>
      <x:c r="D919" s="20" t="str">
        <x:v>C12E06 Dane: note</x:v>
      </x:c>
      <x:c r="E919" s="20" t="str">
        <x:v>Own earlier bonus ended.</x:v>
      </x:c>
      <x:c r="F919" s="20" t="str">
        <x:v>Planned</x:v>
      </x:c>
    </x:row>
    <x:row r="920" ht="32" customHeight="1">
      <x:c r="A920" s="2" t="str">
        <x:v>F913</x:v>
      </x:c>
      <x:c r="B920" s="50" t="n">
        <x:v>12</x:v>
      </x:c>
      <x:c r="C920" s="2" t="str">
        <x:v>Event detail</x:v>
      </x:c>
      <x:c r="D920" s="19" t="str">
        <x:v>C12E06 Dane: geometry.weapon_raised_in_right_hand</x:v>
      </x:c>
      <x:c r="E920" s="58" t="b">
        <x:v>1</x:v>
      </x:c>
      <x:c r="F920" s="19" t="str">
        <x:v>Planned</x:v>
      </x:c>
    </x:row>
    <x:row r="921" ht="28" customHeight="1">
      <x:c r="A921" s="17" t="str">
        <x:v>F914</x:v>
      </x:c>
      <x:c r="B921" s="51" t="n">
        <x:v>12</x:v>
      </x:c>
      <x:c r="C921" s="17" t="str">
        <x:v>Event detail</x:v>
      </x:c>
      <x:c r="D921" s="20" t="str">
        <x:v>C12E06 Dane: geometry.effect_seconds</x:v>
      </x:c>
      <x:c r="E921" s="61" t="n">
        <x:v>8</x:v>
      </x:c>
      <x:c r="F921" s="20" t="str">
        <x:v>Planned</x:v>
      </x:c>
    </x:row>
    <x:row r="922" ht="32" customHeight="1">
      <x:c r="A922" s="2" t="str">
        <x:v>F915</x:v>
      </x:c>
      <x:c r="B922" s="50" t="n">
        <x:v>12</x:v>
      </x:c>
      <x:c r="C922" s="2" t="str">
        <x:v>Event detail</x:v>
      </x:c>
      <x:c r="D922" s="19" t="str">
        <x:v>C12E06 Dane: geometry.physical_attack_crosses_front</x:v>
      </x:c>
      <x:c r="E922" s="58" t="b">
        <x:v>1</x:v>
      </x:c>
      <x:c r="F922" s="19" t="str">
        <x:v>Planned</x:v>
      </x:c>
    </x:row>
    <x:row r="923" ht="32" customHeight="1">
      <x:c r="A923" s="17" t="str">
        <x:v>F916</x:v>
      </x:c>
      <x:c r="B923" s="51" t="n">
        <x:v>12</x:v>
      </x:c>
      <x:c r="C923" s="17" t="str">
        <x:v>Event detail</x:v>
      </x:c>
      <x:c r="D923" s="20" t="str">
        <x:v>C12E06 Dane: geometry.runs_or_attacks_during_effect</x:v>
      </x:c>
      <x:c r="E923" s="59" t="b">
        <x:v>0</x:v>
      </x:c>
      <x:c r="F923" s="20" t="str">
        <x:v>Planned</x:v>
      </x:c>
    </x:row>
    <x:row r="924" ht="32" customHeight="1">
      <x:c r="A924" s="2" t="str">
        <x:v>F917</x:v>
      </x:c>
      <x:c r="B924" s="50" t="n">
        <x:v>12</x:v>
      </x:c>
      <x:c r="C924" s="2" t="str">
        <x:v>Event detail</x:v>
      </x:c>
      <x:c r="D924" s="19" t="str">
        <x:v>C12E06 Dane: geometry.blocks_heat_poison_or_suffocation</x:v>
      </x:c>
      <x:c r="E924" s="58" t="b">
        <x:v>0</x:v>
      </x:c>
      <x:c r="F924" s="19" t="str">
        <x:v>Planned</x:v>
      </x:c>
    </x:row>
    <x:row r="925" ht="32" customHeight="1">
      <x:c r="A925" s="17" t="str">
        <x:v>F918</x:v>
      </x:c>
      <x:c r="B925" s="51" t="n">
        <x:v>12</x:v>
      </x:c>
      <x:c r="C925" s="17" t="str">
        <x:v>Event detail</x:v>
      </x:c>
      <x:c r="D925" s="20" t="str">
        <x:v>C12E06 Dane: geometry.reduced_force_still_can_hurt</x:v>
      </x:c>
      <x:c r="E925" s="59" t="b">
        <x:v>1</x:v>
      </x:c>
      <x:c r="F925" s="20" t="str">
        <x:v>Planned</x:v>
      </x:c>
    </x:row>
    <x:row r="926" ht="28" customHeight="1">
      <x:c r="A926" s="2" t="str">
        <x:v>F919</x:v>
      </x:c>
      <x:c r="B926" s="50" t="n">
        <x:v>12</x:v>
      </x:c>
      <x:c r="C926" s="2" t="str">
        <x:v>Event detail</x:v>
      </x:c>
      <x:c r="D926" s="19" t="str">
        <x:v>C12E07 Kip: target</x:v>
      </x:c>
      <x:c r="E926" s="19" t="str">
        <x:v>garden second defensive bolt</x:v>
      </x:c>
      <x:c r="F926" s="19" t="str">
        <x:v>Planned</x:v>
      </x:c>
    </x:row>
    <x:row r="927" ht="28" customHeight="1">
      <x:c r="A927" s="17" t="str">
        <x:v>F920</x:v>
      </x:c>
      <x:c r="B927" s="51" t="n">
        <x:v>12</x:v>
      </x:c>
      <x:c r="C927" s="17" t="str">
        <x:v>Event detail</x:v>
      </x:c>
      <x:c r="D927" s="20" t="str">
        <x:v>C12E07 Kip: note</x:v>
      </x:c>
      <x:c r="E927" s="20" t="str">
        <x:v>Separate fixture previously inspected within10m; now12m.</x:v>
      </x:c>
      <x:c r="F927" s="20" t="str">
        <x:v>Planned</x:v>
      </x:c>
    </x:row>
    <x:row r="928" ht="28" customHeight="1">
      <x:c r="A928" s="2" t="str">
        <x:v>F921</x:v>
      </x:c>
      <x:c r="B928" s="50" t="n">
        <x:v>12</x:v>
      </x:c>
      <x:c r="C928" s="2" t="str">
        <x:v>Event detail</x:v>
      </x:c>
      <x:c r="D928" s="19" t="str">
        <x:v>C12E07 Kip: control_seconds</x:v>
      </x:c>
      <x:c r="E928" s="60" t="n">
        <x:v>1</x:v>
      </x:c>
      <x:c r="F928" s="19" t="str">
        <x:v>Planned</x:v>
      </x:c>
    </x:row>
    <x:row r="929" ht="28" customHeight="1">
      <x:c r="A929" s="17" t="str">
        <x:v>F922</x:v>
      </x:c>
      <x:c r="B929" s="51" t="n">
        <x:v>12</x:v>
      </x:c>
      <x:c r="C929" s="17" t="str">
        <x:v>Event detail</x:v>
      </x:c>
      <x:c r="D929" s="20" t="str">
        <x:v>C12E07 Kip: geometry.distance_m</x:v>
      </x:c>
      <x:c r="E929" s="61" t="n">
        <x:v>12</x:v>
      </x:c>
      <x:c r="F929" s="20" t="str">
        <x:v>Planned</x:v>
      </x:c>
    </x:row>
    <x:row r="930" ht="32" customHeight="1">
      <x:c r="A930" s="2" t="str">
        <x:v>F923</x:v>
      </x:c>
      <x:c r="B930" s="50" t="n">
        <x:v>12</x:v>
      </x:c>
      <x:c r="C930" s="2" t="str">
        <x:v>Event detail</x:v>
      </x:c>
      <x:c r="D930" s="19" t="str">
        <x:v>C12E07 Kip: geometry.prior_sight_distance_m</x:v>
      </x:c>
      <x:c r="E930" s="60" t="n">
        <x:v>9</x:v>
      </x:c>
      <x:c r="F930" s="19" t="str">
        <x:v>Planned</x:v>
      </x:c>
    </x:row>
    <x:row r="931" ht="32" customHeight="1">
      <x:c r="A931" s="17" t="str">
        <x:v>F924</x:v>
      </x:c>
      <x:c r="B931" s="51" t="n">
        <x:v>12</x:v>
      </x:c>
      <x:c r="C931" s="17" t="str">
        <x:v>Event detail</x:v>
      </x:c>
      <x:c r="D931" s="20" t="str">
        <x:v>C12E07 Kip: geometry.prior_sight_attention_seconds</x:v>
      </x:c>
      <x:c r="E931" s="61" t="n">
        <x:v>1</x:v>
      </x:c>
      <x:c r="F931" s="20" t="str">
        <x:v>Planned</x:v>
      </x:c>
    </x:row>
    <x:row r="932" ht="28" customHeight="1">
      <x:c r="A932" s="2" t="str">
        <x:v>F925</x:v>
      </x:c>
      <x:c r="B932" s="50" t="n">
        <x:v>12</x:v>
      </x:c>
      <x:c r="C932" s="2" t="str">
        <x:v>Event detail</x:v>
      </x:c>
      <x:c r="D932" s="19" t="str">
        <x:v>C12E07 Kip: geometry.visible_at_start</x:v>
      </x:c>
      <x:c r="E932" s="58" t="b">
        <x:v>1</x:v>
      </x:c>
      <x:c r="F932" s="19" t="str">
        <x:v>Planned</x:v>
      </x:c>
    </x:row>
    <x:row r="933" ht="32" customHeight="1">
      <x:c r="A933" s="17" t="str">
        <x:v>F926</x:v>
      </x:c>
      <x:c r="B933" s="51" t="n">
        <x:v>12</x:v>
      </x:c>
      <x:c r="C933" s="17" t="str">
        <x:v>Event detail</x:v>
      </x:c>
      <x:c r="D933" s="20" t="str">
        <x:v>C12E07 Kip: geometry.available_at_start</x:v>
      </x:c>
      <x:c r="E933" s="59" t="b">
        <x:v>1</x:v>
      </x:c>
      <x:c r="F933" s="20" t="str">
        <x:v>Planned</x:v>
      </x:c>
    </x:row>
    <x:row r="934" ht="32" customHeight="1">
      <x:c r="A934" s="2" t="str">
        <x:v>F927</x:v>
      </x:c>
      <x:c r="B934" s="50" t="n">
        <x:v>12</x:v>
      </x:c>
      <x:c r="C934" s="2" t="str">
        <x:v>Event detail</x:v>
      </x:c>
      <x:c r="D934" s="19" t="str">
        <x:v>C12E07 Kip: geometry.within_normal_mechanical_arc</x:v>
      </x:c>
      <x:c r="E934" s="58" t="b">
        <x:v>1</x:v>
      </x:c>
      <x:c r="F934" s="19" t="str">
        <x:v>Planned</x:v>
      </x:c>
    </x:row>
    <x:row r="935" ht="28" customHeight="1">
      <x:c r="A935" s="17" t="str">
        <x:v>F928</x:v>
      </x:c>
      <x:c r="B935" s="51" t="n">
        <x:v>12</x:v>
      </x:c>
      <x:c r="C935" s="17" t="str">
        <x:v>Event detail</x:v>
      </x:c>
      <x:c r="D935" s="20" t="str">
        <x:v>C12E07 Kip: geometry.ready_at_start</x:v>
      </x:c>
      <x:c r="E935" s="59" t="b">
        <x:v>1</x:v>
      </x:c>
      <x:c r="F935" s="20" t="str">
        <x:v>Planned</x:v>
      </x:c>
    </x:row>
    <x:row r="936" ht="32" customHeight="1">
      <x:c r="A936" s="2" t="str">
        <x:v>F929</x:v>
      </x:c>
      <x:c r="B936" s="50" t="n">
        <x:v>12</x:v>
      </x:c>
      <x:c r="C936" s="2" t="str">
        <x:v>Event detail</x:v>
      </x:c>
      <x:c r="D936" s="19" t="str">
        <x:v>C12E07 Kip: geometry.target_is_constructed_fixture</x:v>
      </x:c>
      <x:c r="E936" s="58" t="b">
        <x:v>1</x:v>
      </x:c>
      <x:c r="F936" s="19" t="str">
        <x:v>Planned</x:v>
      </x:c>
    </x:row>
    <x:row r="937" ht="32" customHeight="1">
      <x:c r="A937" s="17" t="str">
        <x:v>F930</x:v>
      </x:c>
      <x:c r="B937" s="51" t="n">
        <x:v>12</x:v>
      </x:c>
      <x:c r="C937" s="17" t="str">
        <x:v>Event detail</x:v>
      </x:c>
      <x:c r="D937" s="20" t="str">
        <x:v>C12E07 Kip: geometry.shield_removed_physically_if_any</x:v>
      </x:c>
      <x:c r="E937" s="59" t="b">
        <x:v>1</x:v>
      </x:c>
      <x:c r="F937" s="20" t="str">
        <x:v>Planned</x:v>
      </x:c>
    </x:row>
    <x:row r="938" ht="28" customHeight="1">
      <x:c r="A938" s="2" t="str">
        <x:v>F931</x:v>
      </x:c>
      <x:c r="B938" s="50" t="n">
        <x:v>12</x:v>
      </x:c>
      <x:c r="C938" s="2" t="str">
        <x:v>Event detail</x:v>
      </x:c>
      <x:c r="D938" s="19" t="str">
        <x:v>C12E07 Kip: outcome</x:v>
      </x:c>
      <x:c r="E938" s="19" t="str">
        <x:v>ordinary legal fixture function, no strengthened output</x:v>
      </x:c>
      <x:c r="F938" s="19" t="str">
        <x:v>Planned</x:v>
      </x:c>
    </x:row>
    <x:row r="939" ht="28" customHeight="1">
      <x:c r="A939" s="17" t="str">
        <x:v>F932</x:v>
      </x:c>
      <x:c r="B939" s="51" t="n">
        <x:v>13</x:v>
      </x:c>
      <x:c r="C939" s="17" t="str">
        <x:v>Event detail</x:v>
      </x:c>
      <x:c r="D939" s="20" t="str">
        <x:v>C13E01 Kip: note</x:v>
      </x:c>
      <x:c r="E939" s="20" t="str">
        <x:v>Protected, seated, no casting/movement/attack; another awake person keeps watch.</x:v>
      </x:c>
      <x:c r="F939" s="20" t="str">
        <x:v>Planned</x:v>
      </x:c>
    </x:row>
    <x:row r="940" ht="28" customHeight="1">
      <x:c r="A940" s="2" t="str">
        <x:v>F933</x:v>
      </x:c>
      <x:c r="B940" s="50" t="n">
        <x:v>13</x:v>
      </x:c>
      <x:c r="C940" s="2" t="str">
        <x:v>Event detail</x:v>
      </x:c>
      <x:c r="D940" s="19" t="str">
        <x:v>C13E01 Kip: ends</x:v>
      </x:c>
      <x:c r="E940" s="19" t="str">
        <x:v>Day 2 19:07:00</x:v>
      </x:c>
      <x:c r="F940" s="19" t="str">
        <x:v>Planned</x:v>
      </x:c>
    </x:row>
    <x:row r="941" ht="28" customHeight="1">
      <x:c r="A941" s="17" t="str">
        <x:v>F934</x:v>
      </x:c>
      <x:c r="B941" s="51" t="n">
        <x:v>13</x:v>
      </x:c>
      <x:c r="C941" s="17" t="str">
        <x:v>Event detail</x:v>
      </x:c>
      <x:c r="D941" s="20" t="str">
        <x:v>C13E02 Tessa: note</x:v>
      </x:c>
      <x:c r="E941" s="20" t="str">
        <x:v>Protected, seated, no casting/movement/attack; another awake person keeps watch.</x:v>
      </x:c>
      <x:c r="F941" s="20" t="str">
        <x:v>Planned</x:v>
      </x:c>
    </x:row>
    <x:row r="942" ht="28" customHeight="1">
      <x:c r="A942" s="2" t="str">
        <x:v>F935</x:v>
      </x:c>
      <x:c r="B942" s="50" t="n">
        <x:v>13</x:v>
      </x:c>
      <x:c r="C942" s="2" t="str">
        <x:v>Event detail</x:v>
      </x:c>
      <x:c r="D942" s="19" t="str">
        <x:v>C13E02 Tessa: ends</x:v>
      </x:c>
      <x:c r="E942" s="19" t="str">
        <x:v>Day 2 19:05:00</x:v>
      </x:c>
      <x:c r="F942" s="19" t="str">
        <x:v>Planned</x:v>
      </x:c>
    </x:row>
    <x:row r="943" ht="28" customHeight="1">
      <x:c r="A943" s="17" t="str">
        <x:v>F936</x:v>
      </x:c>
      <x:c r="B943" s="51" t="n">
        <x:v>13</x:v>
      </x:c>
      <x:c r="C943" s="17" t="str">
        <x:v>Event detail</x:v>
      </x:c>
      <x:c r="D943" s="20" t="str">
        <x:v>C13E03 Dane: note</x:v>
      </x:c>
      <x:c r="E943" s="20" t="str">
        <x:v>Protected, seated, no casting/movement/attack; another awake person keeps watch.</x:v>
      </x:c>
      <x:c r="F943" s="20" t="str">
        <x:v>Planned</x:v>
      </x:c>
    </x:row>
    <x:row r="944" ht="28" customHeight="1">
      <x:c r="A944" s="2" t="str">
        <x:v>F937</x:v>
      </x:c>
      <x:c r="B944" s="50" t="n">
        <x:v>13</x:v>
      </x:c>
      <x:c r="C944" s="2" t="str">
        <x:v>Event detail</x:v>
      </x:c>
      <x:c r="D944" s="19" t="str">
        <x:v>C13E03 Dane: ends</x:v>
      </x:c>
      <x:c r="E944" s="19" t="str">
        <x:v>Day 2 19:07:00</x:v>
      </x:c>
      <x:c r="F944" s="19" t="str">
        <x:v>Planned</x:v>
      </x:c>
    </x:row>
    <x:row r="945" ht="28" customHeight="1">
      <x:c r="A945" s="17" t="str">
        <x:v>F938</x:v>
      </x:c>
      <x:c r="B945" s="51" t="n">
        <x:v>13</x:v>
      </x:c>
      <x:c r="C945" s="17" t="str">
        <x:v>Event detail</x:v>
      </x:c>
      <x:c r="D945" s="20" t="str">
        <x:v>C13E04 Kip: target</x:v>
      </x:c>
      <x:c r="E945" s="20" t="str">
        <x:v>safe practice lane one</x:v>
      </x:c>
      <x:c r="F945" s="20" t="str">
        <x:v>Planned</x:v>
      </x:c>
    </x:row>
    <x:row r="946" ht="28" customHeight="1">
      <x:c r="A946" s="2" t="str">
        <x:v>F939</x:v>
      </x:c>
      <x:c r="B946" s="50" t="n">
        <x:v>13</x:v>
      </x:c>
      <x:c r="C946" s="2" t="str">
        <x:v>Event detail</x:v>
      </x:c>
      <x:c r="D946" s="19" t="str">
        <x:v>C13E04 Kip: setup_seconds</x:v>
      </x:c>
      <x:c r="E946" s="60" t="n">
        <x:v>2</x:v>
      </x:c>
      <x:c r="F946" s="19" t="str">
        <x:v>Planned</x:v>
      </x:c>
    </x:row>
    <x:row r="947" ht="32" customHeight="1">
      <x:c r="A947" s="17" t="str">
        <x:v>F940</x:v>
      </x:c>
      <x:c r="B947" s="51" t="n">
        <x:v>13</x:v>
      </x:c>
      <x:c r="C947" s="17" t="str">
        <x:v>Event detail</x:v>
      </x:c>
      <x:c r="D947" s="20" t="str">
        <x:v>C13E04 Kip: physical_impact_seconds_after_start</x:v>
      </x:c>
      <x:c r="E947" s="61" t="n">
        <x:v>8</x:v>
      </x:c>
      <x:c r="F947" s="20" t="str">
        <x:v>Planned</x:v>
      </x:c>
    </x:row>
    <x:row r="948" ht="28" customHeight="1">
      <x:c r="A948" s="2" t="str">
        <x:v>F941</x:v>
      </x:c>
      <x:c r="B948" s="50" t="n">
        <x:v>13</x:v>
      </x:c>
      <x:c r="C948" s="2" t="str">
        <x:v>Event detail</x:v>
      </x:c>
      <x:c r="D948" s="19" t="str">
        <x:v>C13E04 Kip: geometry.clear_ground</x:v>
      </x:c>
      <x:c r="E948" s="58" t="b">
        <x:v>1</x:v>
      </x:c>
      <x:c r="F948" s="19" t="str">
        <x:v>Planned</x:v>
      </x:c>
    </x:row>
    <x:row r="949" ht="28" customHeight="1">
      <x:c r="A949" s="17" t="str">
        <x:v>F942</x:v>
      </x:c>
      <x:c r="B949" s="51" t="n">
        <x:v>13</x:v>
      </x:c>
      <x:c r="C949" s="17" t="str">
        <x:v>Event detail</x:v>
      </x:c>
      <x:c r="D949" s="20" t="str">
        <x:v>C13E04 Kip: geometry.within_3m</x:v>
      </x:c>
      <x:c r="E949" s="59" t="b">
        <x:v>1</x:v>
      </x:c>
      <x:c r="F949" s="20" t="str">
        <x:v>Planned</x:v>
      </x:c>
    </x:row>
    <x:row r="950" ht="28" customHeight="1">
      <x:c r="A950" s="2" t="str">
        <x:v>F943</x:v>
      </x:c>
      <x:c r="B950" s="50" t="n">
        <x:v>13</x:v>
      </x:c>
      <x:c r="C950" s="2" t="str">
        <x:v>Event detail</x:v>
      </x:c>
      <x:c r="D950" s="19" t="str">
        <x:v>C13E04 Kip: geometry.upright_2m_square</x:v>
      </x:c>
      <x:c r="E950" s="58" t="b">
        <x:v>1</x:v>
      </x:c>
      <x:c r="F950" s="19" t="str">
        <x:v>Planned</x:v>
      </x:c>
    </x:row>
    <x:row r="951" ht="28" customHeight="1">
      <x:c r="A951" s="17" t="str">
        <x:v>F944</x:v>
      </x:c>
      <x:c r="B951" s="51" t="n">
        <x:v>13</x:v>
      </x:c>
      <x:c r="C951" s="17" t="str">
        <x:v>Event detail</x:v>
      </x:c>
      <x:c r="D951" s="20" t="str">
        <x:v>C13E04 Kip: geometry.stationary</x:v>
      </x:c>
      <x:c r="E951" s="59" t="b">
        <x:v>1</x:v>
      </x:c>
      <x:c r="F951" s="20" t="str">
        <x:v>Planned</x:v>
      </x:c>
    </x:row>
    <x:row r="952" ht="32" customHeight="1">
      <x:c r="A952" s="2" t="str">
        <x:v>F945</x:v>
      </x:c>
      <x:c r="B952" s="50" t="n">
        <x:v>13</x:v>
      </x:c>
      <x:c r="C952" s="2" t="str">
        <x:v>Event detail</x:v>
      </x:c>
      <x:c r="D952" s="19" t="str">
        <x:v>C13E04 Kip: geometry.physical_impact_crosses_front</x:v>
      </x:c>
      <x:c r="E952" s="58" t="b">
        <x:v>1</x:v>
      </x:c>
      <x:c r="F952" s="19" t="str">
        <x:v>Planned</x:v>
      </x:c>
    </x:row>
    <x:row r="953" ht="32" customHeight="1">
      <x:c r="A953" s="17" t="str">
        <x:v>F946</x:v>
      </x:c>
      <x:c r="B953" s="51" t="n">
        <x:v>13</x:v>
      </x:c>
      <x:c r="C953" s="17" t="str">
        <x:v>Event detail</x:v>
      </x:c>
      <x:c r="D953" s="20" t="str">
        <x:v>C13E04 Kip: geometry.blocks_heat_or_water</x:v>
      </x:c>
      <x:c r="E953" s="59" t="b">
        <x:v>0</x:v>
      </x:c>
      <x:c r="F953" s="20" t="str">
        <x:v>Planned</x:v>
      </x:c>
    </x:row>
    <x:row r="954" ht="28" customHeight="1">
      <x:c r="A954" s="2" t="str">
        <x:v>F947</x:v>
      </x:c>
      <x:c r="B954" s="50" t="n">
        <x:v>13</x:v>
      </x:c>
      <x:c r="C954" s="2" t="str">
        <x:v>Event detail</x:v>
      </x:c>
      <x:c r="D954" s="19" t="str">
        <x:v>C13E05 Kip: target</x:v>
      </x:c>
      <x:c r="E954" s="19" t="str">
        <x:v>safe practice lane two</x:v>
      </x:c>
      <x:c r="F954" s="19" t="str">
        <x:v>Planned</x:v>
      </x:c>
    </x:row>
    <x:row r="955" ht="28" customHeight="1">
      <x:c r="A955" s="17" t="str">
        <x:v>F948</x:v>
      </x:c>
      <x:c r="B955" s="51" t="n">
        <x:v>13</x:v>
      </x:c>
      <x:c r="C955" s="17" t="str">
        <x:v>Event detail</x:v>
      </x:c>
      <x:c r="D955" s="20" t="str">
        <x:v>C13E05 Kip: setup_seconds</x:v>
      </x:c>
      <x:c r="E955" s="61" t="n">
        <x:v>2</x:v>
      </x:c>
      <x:c r="F955" s="20" t="str">
        <x:v>Planned</x:v>
      </x:c>
    </x:row>
    <x:row r="956" ht="32" customHeight="1">
      <x:c r="A956" s="2" t="str">
        <x:v>F949</x:v>
      </x:c>
      <x:c r="B956" s="50" t="n">
        <x:v>13</x:v>
      </x:c>
      <x:c r="C956" s="2" t="str">
        <x:v>Event detail</x:v>
      </x:c>
      <x:c r="D956" s="19" t="str">
        <x:v>C13E05 Kip: physical_impact_seconds_after_start</x:v>
      </x:c>
      <x:c r="E956" s="60" t="n">
        <x:v>8</x:v>
      </x:c>
      <x:c r="F956" s="19" t="str">
        <x:v>Planned</x:v>
      </x:c>
    </x:row>
    <x:row r="957" ht="28" customHeight="1">
      <x:c r="A957" s="17" t="str">
        <x:v>F950</x:v>
      </x:c>
      <x:c r="B957" s="51" t="n">
        <x:v>13</x:v>
      </x:c>
      <x:c r="C957" s="17" t="str">
        <x:v>Event detail</x:v>
      </x:c>
      <x:c r="D957" s="20" t="str">
        <x:v>C13E05 Kip: geometry.clear_ground</x:v>
      </x:c>
      <x:c r="E957" s="59" t="b">
        <x:v>1</x:v>
      </x:c>
      <x:c r="F957" s="20" t="str">
        <x:v>Planned</x:v>
      </x:c>
    </x:row>
    <x:row r="958" ht="28" customHeight="1">
      <x:c r="A958" s="2" t="str">
        <x:v>F951</x:v>
      </x:c>
      <x:c r="B958" s="50" t="n">
        <x:v>13</x:v>
      </x:c>
      <x:c r="C958" s="2" t="str">
        <x:v>Event detail</x:v>
      </x:c>
      <x:c r="D958" s="19" t="str">
        <x:v>C13E05 Kip: geometry.within_3m</x:v>
      </x:c>
      <x:c r="E958" s="58" t="b">
        <x:v>1</x:v>
      </x:c>
      <x:c r="F958" s="19" t="str">
        <x:v>Planned</x:v>
      </x:c>
    </x:row>
    <x:row r="959" ht="28" customHeight="1">
      <x:c r="A959" s="17" t="str">
        <x:v>F952</x:v>
      </x:c>
      <x:c r="B959" s="51" t="n">
        <x:v>13</x:v>
      </x:c>
      <x:c r="C959" s="17" t="str">
        <x:v>Event detail</x:v>
      </x:c>
      <x:c r="D959" s="20" t="str">
        <x:v>C13E05 Kip: geometry.upright_2m_square</x:v>
      </x:c>
      <x:c r="E959" s="59" t="b">
        <x:v>1</x:v>
      </x:c>
      <x:c r="F959" s="20" t="str">
        <x:v>Planned</x:v>
      </x:c>
    </x:row>
    <x:row r="960" ht="28" customHeight="1">
      <x:c r="A960" s="2" t="str">
        <x:v>F953</x:v>
      </x:c>
      <x:c r="B960" s="50" t="n">
        <x:v>13</x:v>
      </x:c>
      <x:c r="C960" s="2" t="str">
        <x:v>Event detail</x:v>
      </x:c>
      <x:c r="D960" s="19" t="str">
        <x:v>C13E05 Kip: geometry.stationary</x:v>
      </x:c>
      <x:c r="E960" s="58" t="b">
        <x:v>1</x:v>
      </x:c>
      <x:c r="F960" s="19" t="str">
        <x:v>Planned</x:v>
      </x:c>
    </x:row>
    <x:row r="961" ht="32" customHeight="1">
      <x:c r="A961" s="17" t="str">
        <x:v>F954</x:v>
      </x:c>
      <x:c r="B961" s="51" t="n">
        <x:v>13</x:v>
      </x:c>
      <x:c r="C961" s="17" t="str">
        <x:v>Event detail</x:v>
      </x:c>
      <x:c r="D961" s="20" t="str">
        <x:v>C13E05 Kip: geometry.physical_impact_crosses_front</x:v>
      </x:c>
      <x:c r="E961" s="59" t="b">
        <x:v>1</x:v>
      </x:c>
      <x:c r="F961" s="20" t="str">
        <x:v>Planned</x:v>
      </x:c>
    </x:row>
    <x:row r="962" ht="32" customHeight="1">
      <x:c r="A962" s="2" t="str">
        <x:v>F955</x:v>
      </x:c>
      <x:c r="B962" s="50" t="n">
        <x:v>13</x:v>
      </x:c>
      <x:c r="C962" s="2" t="str">
        <x:v>Event detail</x:v>
      </x:c>
      <x:c r="D962" s="19" t="str">
        <x:v>C13E05 Kip: geometry.blocks_heat_or_water</x:v>
      </x:c>
      <x:c r="E962" s="58" t="b">
        <x:v>0</x:v>
      </x:c>
      <x:c r="F962" s="19" t="str">
        <x:v>Planned</x:v>
      </x:c>
    </x:row>
    <x:row r="963" ht="28" customHeight="1">
      <x:c r="A963" s="17" t="str">
        <x:v>F956</x:v>
      </x:c>
      <x:c r="B963" s="51" t="n">
        <x:v>13</x:v>
      </x:c>
      <x:c r="C963" s="17" t="str">
        <x:v>Event detail</x:v>
      </x:c>
      <x:c r="D963" s="20" t="str">
        <x:v>C13E06 Kip: target</x:v>
      </x:c>
      <x:c r="E963" s="20" t="str">
        <x:v>safe practice lane three</x:v>
      </x:c>
      <x:c r="F963" s="20" t="str">
        <x:v>Planned</x:v>
      </x:c>
    </x:row>
    <x:row r="964" ht="28" customHeight="1">
      <x:c r="A964" s="2" t="str">
        <x:v>F957</x:v>
      </x:c>
      <x:c r="B964" s="50" t="n">
        <x:v>13</x:v>
      </x:c>
      <x:c r="C964" s="2" t="str">
        <x:v>Event detail</x:v>
      </x:c>
      <x:c r="D964" s="19" t="str">
        <x:v>C13E06 Kip: setup_seconds</x:v>
      </x:c>
      <x:c r="E964" s="60" t="n">
        <x:v>2</x:v>
      </x:c>
      <x:c r="F964" s="19" t="str">
        <x:v>Planned</x:v>
      </x:c>
    </x:row>
    <x:row r="965" ht="32" customHeight="1">
      <x:c r="A965" s="17" t="str">
        <x:v>F958</x:v>
      </x:c>
      <x:c r="B965" s="51" t="n">
        <x:v>13</x:v>
      </x:c>
      <x:c r="C965" s="17" t="str">
        <x:v>Event detail</x:v>
      </x:c>
      <x:c r="D965" s="20" t="str">
        <x:v>C13E06 Kip: physical_impact_seconds_after_start</x:v>
      </x:c>
      <x:c r="E965" s="61" t="n">
        <x:v>8</x:v>
      </x:c>
      <x:c r="F965" s="20" t="str">
        <x:v>Planned</x:v>
      </x:c>
    </x:row>
    <x:row r="966" ht="28" customHeight="1">
      <x:c r="A966" s="2" t="str">
        <x:v>F959</x:v>
      </x:c>
      <x:c r="B966" s="50" t="n">
        <x:v>13</x:v>
      </x:c>
      <x:c r="C966" s="2" t="str">
        <x:v>Event detail</x:v>
      </x:c>
      <x:c r="D966" s="19" t="str">
        <x:v>C13E06 Kip: geometry.clear_ground</x:v>
      </x:c>
      <x:c r="E966" s="58" t="b">
        <x:v>1</x:v>
      </x:c>
      <x:c r="F966" s="19" t="str">
        <x:v>Planned</x:v>
      </x:c>
    </x:row>
    <x:row r="967" ht="28" customHeight="1">
      <x:c r="A967" s="17" t="str">
        <x:v>F960</x:v>
      </x:c>
      <x:c r="B967" s="51" t="n">
        <x:v>13</x:v>
      </x:c>
      <x:c r="C967" s="17" t="str">
        <x:v>Event detail</x:v>
      </x:c>
      <x:c r="D967" s="20" t="str">
        <x:v>C13E06 Kip: geometry.within_3m</x:v>
      </x:c>
      <x:c r="E967" s="59" t="b">
        <x:v>1</x:v>
      </x:c>
      <x:c r="F967" s="20" t="str">
        <x:v>Planned</x:v>
      </x:c>
    </x:row>
    <x:row r="968" ht="28" customHeight="1">
      <x:c r="A968" s="2" t="str">
        <x:v>F961</x:v>
      </x:c>
      <x:c r="B968" s="50" t="n">
        <x:v>13</x:v>
      </x:c>
      <x:c r="C968" s="2" t="str">
        <x:v>Event detail</x:v>
      </x:c>
      <x:c r="D968" s="19" t="str">
        <x:v>C13E06 Kip: geometry.upright_2m_square</x:v>
      </x:c>
      <x:c r="E968" s="58" t="b">
        <x:v>1</x:v>
      </x:c>
      <x:c r="F968" s="19" t="str">
        <x:v>Planned</x:v>
      </x:c>
    </x:row>
    <x:row r="969" ht="28" customHeight="1">
      <x:c r="A969" s="17" t="str">
        <x:v>F962</x:v>
      </x:c>
      <x:c r="B969" s="51" t="n">
        <x:v>13</x:v>
      </x:c>
      <x:c r="C969" s="17" t="str">
        <x:v>Event detail</x:v>
      </x:c>
      <x:c r="D969" s="20" t="str">
        <x:v>C13E06 Kip: geometry.stationary</x:v>
      </x:c>
      <x:c r="E969" s="59" t="b">
        <x:v>1</x:v>
      </x:c>
      <x:c r="F969" s="20" t="str">
        <x:v>Planned</x:v>
      </x:c>
    </x:row>
    <x:row r="970" ht="32" customHeight="1">
      <x:c r="A970" s="2" t="str">
        <x:v>F963</x:v>
      </x:c>
      <x:c r="B970" s="50" t="n">
        <x:v>13</x:v>
      </x:c>
      <x:c r="C970" s="2" t="str">
        <x:v>Event detail</x:v>
      </x:c>
      <x:c r="D970" s="19" t="str">
        <x:v>C13E06 Kip: geometry.physical_impact_crosses_front</x:v>
      </x:c>
      <x:c r="E970" s="58" t="b">
        <x:v>1</x:v>
      </x:c>
      <x:c r="F970" s="19" t="str">
        <x:v>Planned</x:v>
      </x:c>
    </x:row>
    <x:row r="971" ht="32" customHeight="1">
      <x:c r="A971" s="17" t="str">
        <x:v>F964</x:v>
      </x:c>
      <x:c r="B971" s="51" t="n">
        <x:v>13</x:v>
      </x:c>
      <x:c r="C971" s="17" t="str">
        <x:v>Event detail</x:v>
      </x:c>
      <x:c r="D971" s="20" t="str">
        <x:v>C13E06 Kip: geometry.blocks_heat_or_water</x:v>
      </x:c>
      <x:c r="E971" s="59" t="b">
        <x:v>0</x:v>
      </x:c>
      <x:c r="F971" s="20" t="str">
        <x:v>Planned</x:v>
      </x:c>
    </x:row>
    <x:row r="972" ht="28" customHeight="1">
      <x:c r="A972" s="2" t="str">
        <x:v>F965</x:v>
      </x:c>
      <x:c r="B972" s="50" t="n">
        <x:v>13</x:v>
      </x:c>
      <x:c r="C972" s="2" t="str">
        <x:v>Event detail</x:v>
      </x:c>
      <x:c r="D972" s="19" t="str">
        <x:v>C13E07 Kip: note</x:v>
      </x:c>
      <x:c r="E972" s="19" t="str">
        <x:v>Quiet interval after focused Ward block; not counted as practice.</x:v>
      </x:c>
      <x:c r="F972" s="19" t="str">
        <x:v>Planned</x:v>
      </x:c>
    </x:row>
    <x:row r="973" ht="28" customHeight="1">
      <x:c r="A973" s="17" t="str">
        <x:v>F966</x:v>
      </x:c>
      <x:c r="B973" s="51" t="n">
        <x:v>13</x:v>
      </x:c>
      <x:c r="C973" s="17" t="str">
        <x:v>Event detail</x:v>
      </x:c>
      <x:c r="D973" s="20" t="str">
        <x:v>C13E07 Kip: ends</x:v>
      </x:c>
      <x:c r="E973" s="20" t="str">
        <x:v>Day 2 20:54:00</x:v>
      </x:c>
      <x:c r="F973" s="20" t="str">
        <x:v>Planned</x:v>
      </x:c>
    </x:row>
    <x:row r="974" ht="28" customHeight="1">
      <x:c r="A974" s="2" t="str">
        <x:v>F967</x:v>
      </x:c>
      <x:c r="B974" s="50" t="n">
        <x:v>14</x:v>
      </x:c>
      <x:c r="C974" s="2" t="str">
        <x:v>Event detail</x:v>
      </x:c>
      <x:c r="D974" s="19" t="str">
        <x:v>C14E01 Tessa: target</x:v>
      </x:c>
      <x:c r="E974" s="19" t="str">
        <x:v>fresh clearance-worker tracks</x:v>
      </x:c>
      <x:c r="F974" s="19" t="str">
        <x:v>Planned</x:v>
      </x:c>
    </x:row>
    <x:row r="975" ht="32" customHeight="1">
      <x:c r="A975" s="17" t="str">
        <x:v>F968</x:v>
      </x:c>
      <x:c r="B975" s="51" t="n">
        <x:v>14</x:v>
      </x:c>
      <x:c r="C975" s="17" t="str">
        <x:v>Event detail</x:v>
      </x:c>
      <x:c r="D975" s="20" t="str">
        <x:v>C14E01 Tessa: geometry.physical_track_inspected</x:v>
      </x:c>
      <x:c r="E975" s="59" t="b">
        <x:v>1</x:v>
      </x:c>
      <x:c r="F975" s="20" t="str">
        <x:v>Planned</x:v>
      </x:c>
    </x:row>
    <x:row r="976" ht="32" customHeight="1">
      <x:c r="A976" s="2" t="str">
        <x:v>F969</x:v>
      </x:c>
      <x:c r="B976" s="50" t="n">
        <x:v>14</x:v>
      </x:c>
      <x:c r="C976" s="2" t="str">
        <x:v>Event detail</x:v>
      </x:c>
      <x:c r="D976" s="19" t="str">
        <x:v>C14E01 Tessa: geometry.oldest_trace_minutes</x:v>
      </x:c>
      <x:c r="E976" s="60" t="n">
        <x:v>60</x:v>
      </x:c>
      <x:c r="F976" s="19" t="str">
        <x:v>Planned</x:v>
      </x:c>
    </x:row>
    <x:row r="977" ht="28" customHeight="1">
      <x:c r="A977" s="17" t="str">
        <x:v>F970</x:v>
      </x:c>
      <x:c r="B977" s="51" t="n">
        <x:v>14</x:v>
      </x:c>
      <x:c r="C977" s="17" t="str">
        <x:v>Event detail</x:v>
      </x:c>
      <x:c r="D977" s="20" t="str">
        <x:v>C14E01 Tessa: geometry.radius_m</x:v>
      </x:c>
      <x:c r="E977" s="61" t="n">
        <x:v>25</x:v>
      </x:c>
      <x:c r="F977" s="20" t="str">
        <x:v>Planned</x:v>
      </x:c>
    </x:row>
    <x:row r="978" ht="32" customHeight="1">
      <x:c r="A978" s="2" t="str">
        <x:v>F971</x:v>
      </x:c>
      <x:c r="B978" s="50" t="n">
        <x:v>14</x:v>
      </x:c>
      <x:c r="C978" s="2" t="str">
        <x:v>Event detail</x:v>
      </x:c>
      <x:c r="D978" s="19" t="str">
        <x:v>C14E01 Tessa: geometry.trace_visible_line_of_sight</x:v>
      </x:c>
      <x:c r="E978" s="58" t="b">
        <x:v>1</x:v>
      </x:c>
      <x:c r="F978" s="19" t="str">
        <x:v>Planned</x:v>
      </x:c>
    </x:row>
    <x:row r="979" ht="32" customHeight="1">
      <x:c r="A979" s="17" t="str">
        <x:v>F972</x:v>
      </x:c>
      <x:c r="B979" s="51" t="n">
        <x:v>14</x:v>
      </x:c>
      <x:c r="C979" s="17" t="str">
        <x:v>Event detail</x:v>
      </x:c>
      <x:c r="D979" s="20" t="str">
        <x:v>C14E01 Tessa: geometry.reveals_current_person_location_or_mind</x:v>
      </x:c>
      <x:c r="E979" s="59" t="b">
        <x:v>0</x:v>
      </x:c>
      <x:c r="F979" s="20" t="str">
        <x:v>Planned</x:v>
      </x:c>
    </x:row>
    <x:row r="980" ht="28" customHeight="1">
      <x:c r="A980" s="2" t="str">
        <x:v>F973</x:v>
      </x:c>
      <x:c r="B980" s="50" t="n">
        <x:v>14</x:v>
      </x:c>
      <x:c r="C980" s="2" t="str">
        <x:v>Event detail</x:v>
      </x:c>
      <x:c r="D980" s="19" t="str">
        <x:v>C14E02 Kip: target</x:v>
      </x:c>
      <x:c r="E980" s="19" t="str">
        <x:v>hot-cavern first bolt fixture</x:v>
      </x:c>
      <x:c r="F980" s="19" t="str">
        <x:v>Planned</x:v>
      </x:c>
    </x:row>
    <x:row r="981" ht="28" customHeight="1">
      <x:c r="A981" s="17" t="str">
        <x:v>F974</x:v>
      </x:c>
      <x:c r="B981" s="51" t="n">
        <x:v>14</x:v>
      </x:c>
      <x:c r="C981" s="17" t="str">
        <x:v>Event detail</x:v>
      </x:c>
      <x:c r="D981" s="20" t="str">
        <x:v>C14E02 Kip: note</x:v>
      </x:c>
      <x:c r="E981" s="20" t="str">
        <x:v>Physical strike at territorial hunter; no Ward heat protection.</x:v>
      </x:c>
      <x:c r="F981" s="20" t="str">
        <x:v>Planned</x:v>
      </x:c>
    </x:row>
    <x:row r="982" ht="28" customHeight="1">
      <x:c r="A982" s="2" t="str">
        <x:v>F975</x:v>
      </x:c>
      <x:c r="B982" s="50" t="n">
        <x:v>14</x:v>
      </x:c>
      <x:c r="C982" s="2" t="str">
        <x:v>Event detail</x:v>
      </x:c>
      <x:c r="D982" s="19" t="str">
        <x:v>C14E02 Kip: control_seconds</x:v>
      </x:c>
      <x:c r="E982" s="60" t="n">
        <x:v>1</x:v>
      </x:c>
      <x:c r="F982" s="19" t="str">
        <x:v>Planned</x:v>
      </x:c>
    </x:row>
    <x:row r="983" ht="28" customHeight="1">
      <x:c r="A983" s="17" t="str">
        <x:v>F976</x:v>
      </x:c>
      <x:c r="B983" s="51" t="n">
        <x:v>14</x:v>
      </x:c>
      <x:c r="C983" s="17" t="str">
        <x:v>Event detail</x:v>
      </x:c>
      <x:c r="D983" s="20" t="str">
        <x:v>C14E02 Kip: geometry.distance_m</x:v>
      </x:c>
      <x:c r="E983" s="61" t="n">
        <x:v>10</x:v>
      </x:c>
      <x:c r="F983" s="20" t="str">
        <x:v>Planned</x:v>
      </x:c>
    </x:row>
    <x:row r="984" ht="32" customHeight="1">
      <x:c r="A984" s="2" t="str">
        <x:v>F977</x:v>
      </x:c>
      <x:c r="B984" s="50" t="n">
        <x:v>14</x:v>
      </x:c>
      <x:c r="C984" s="2" t="str">
        <x:v>Event detail</x:v>
      </x:c>
      <x:c r="D984" s="19" t="str">
        <x:v>C14E02 Kip: geometry.prior_sight_distance_m</x:v>
      </x:c>
      <x:c r="E984" s="60" t="n">
        <x:v>10</x:v>
      </x:c>
      <x:c r="F984" s="19" t="str">
        <x:v>Planned</x:v>
      </x:c>
    </x:row>
    <x:row r="985" ht="32" customHeight="1">
      <x:c r="A985" s="17" t="str">
        <x:v>F978</x:v>
      </x:c>
      <x:c r="B985" s="51" t="n">
        <x:v>14</x:v>
      </x:c>
      <x:c r="C985" s="17" t="str">
        <x:v>Event detail</x:v>
      </x:c>
      <x:c r="D985" s="20" t="str">
        <x:v>C14E02 Kip: geometry.prior_sight_attention_seconds</x:v>
      </x:c>
      <x:c r="E985" s="61" t="n">
        <x:v>1</x:v>
      </x:c>
      <x:c r="F985" s="20" t="str">
        <x:v>Planned</x:v>
      </x:c>
    </x:row>
    <x:row r="986" ht="28" customHeight="1">
      <x:c r="A986" s="2" t="str">
        <x:v>F979</x:v>
      </x:c>
      <x:c r="B986" s="50" t="n">
        <x:v>14</x:v>
      </x:c>
      <x:c r="C986" s="2" t="str">
        <x:v>Event detail</x:v>
      </x:c>
      <x:c r="D986" s="19" t="str">
        <x:v>C14E02 Kip: geometry.visible_at_start</x:v>
      </x:c>
      <x:c r="E986" s="58" t="b">
        <x:v>1</x:v>
      </x:c>
      <x:c r="F986" s="19" t="str">
        <x:v>Planned</x:v>
      </x:c>
    </x:row>
    <x:row r="987" ht="32" customHeight="1">
      <x:c r="A987" s="17" t="str">
        <x:v>F980</x:v>
      </x:c>
      <x:c r="B987" s="51" t="n">
        <x:v>14</x:v>
      </x:c>
      <x:c r="C987" s="17" t="str">
        <x:v>Event detail</x:v>
      </x:c>
      <x:c r="D987" s="20" t="str">
        <x:v>C14E02 Kip: geometry.available_at_start</x:v>
      </x:c>
      <x:c r="E987" s="59" t="b">
        <x:v>1</x:v>
      </x:c>
      <x:c r="F987" s="20" t="str">
        <x:v>Planned</x:v>
      </x:c>
    </x:row>
    <x:row r="988" ht="32" customHeight="1">
      <x:c r="A988" s="2" t="str">
        <x:v>F981</x:v>
      </x:c>
      <x:c r="B988" s="50" t="n">
        <x:v>14</x:v>
      </x:c>
      <x:c r="C988" s="2" t="str">
        <x:v>Event detail</x:v>
      </x:c>
      <x:c r="D988" s="19" t="str">
        <x:v>C14E02 Kip: geometry.within_normal_mechanical_arc</x:v>
      </x:c>
      <x:c r="E988" s="58" t="b">
        <x:v>1</x:v>
      </x:c>
      <x:c r="F988" s="19" t="str">
        <x:v>Planned</x:v>
      </x:c>
    </x:row>
    <x:row r="989" ht="28" customHeight="1">
      <x:c r="A989" s="17" t="str">
        <x:v>F982</x:v>
      </x:c>
      <x:c r="B989" s="51" t="n">
        <x:v>14</x:v>
      </x:c>
      <x:c r="C989" s="17" t="str">
        <x:v>Event detail</x:v>
      </x:c>
      <x:c r="D989" s="20" t="str">
        <x:v>C14E02 Kip: geometry.ready_at_start</x:v>
      </x:c>
      <x:c r="E989" s="59" t="b">
        <x:v>1</x:v>
      </x:c>
      <x:c r="F989" s="20" t="str">
        <x:v>Planned</x:v>
      </x:c>
    </x:row>
    <x:row r="990" ht="32" customHeight="1">
      <x:c r="A990" s="2" t="str">
        <x:v>F983</x:v>
      </x:c>
      <x:c r="B990" s="50" t="n">
        <x:v>14</x:v>
      </x:c>
      <x:c r="C990" s="2" t="str">
        <x:v>Event detail</x:v>
      </x:c>
      <x:c r="D990" s="19" t="str">
        <x:v>C14E02 Kip: geometry.target_is_constructed_fixture</x:v>
      </x:c>
      <x:c r="E990" s="58" t="b">
        <x:v>1</x:v>
      </x:c>
      <x:c r="F990" s="19" t="str">
        <x:v>Planned</x:v>
      </x:c>
    </x:row>
    <x:row r="991" ht="32" customHeight="1">
      <x:c r="A991" s="17" t="str">
        <x:v>F984</x:v>
      </x:c>
      <x:c r="B991" s="51" t="n">
        <x:v>14</x:v>
      </x:c>
      <x:c r="C991" s="17" t="str">
        <x:v>Event detail</x:v>
      </x:c>
      <x:c r="D991" s="20" t="str">
        <x:v>C14E02 Kip: geometry.shield_removed_physically_if_any</x:v>
      </x:c>
      <x:c r="E991" s="59" t="b">
        <x:v>1</x:v>
      </x:c>
      <x:c r="F991" s="20" t="str">
        <x:v>Planned</x:v>
      </x:c>
    </x:row>
    <x:row r="992" ht="28" customHeight="1">
      <x:c r="A992" s="2" t="str">
        <x:v>F985</x:v>
      </x:c>
      <x:c r="B992" s="50" t="n">
        <x:v>14</x:v>
      </x:c>
      <x:c r="C992" s="2" t="str">
        <x:v>Event detail</x:v>
      </x:c>
      <x:c r="D992" s="19" t="str">
        <x:v>C14E02 Kip: outcome</x:v>
      </x:c>
      <x:c r="E992" s="19" t="str">
        <x:v>ordinary legal fixture function, no strengthened output</x:v>
      </x:c>
      <x:c r="F992" s="19" t="str">
        <x:v>Planned</x:v>
      </x:c>
    </x:row>
    <x:row r="993" ht="28" customHeight="1">
      <x:c r="A993" s="17" t="str">
        <x:v>F986</x:v>
      </x:c>
      <x:c r="B993" s="51" t="n">
        <x:v>14</x:v>
      </x:c>
      <x:c r="C993" s="17" t="str">
        <x:v>Event detail</x:v>
      </x:c>
      <x:c r="D993" s="20" t="str">
        <x:v>C14E03 Tessa: target</x:v>
      </x:c>
      <x:c r="E993" s="20" t="str">
        <x:v>visible stone rib path</x:v>
      </x:c>
      <x:c r="F993" s="20" t="str">
        <x:v>Planned</x:v>
      </x:c>
    </x:row>
    <x:row r="994" ht="28" customHeight="1">
      <x:c r="A994" s="2" t="str">
        <x:v>F987</x:v>
      </x:c>
      <x:c r="B994" s="50" t="n">
        <x:v>14</x:v>
      </x:c>
      <x:c r="C994" s="2" t="str">
        <x:v>Event detail</x:v>
      </x:c>
      <x:c r="D994" s="19" t="str">
        <x:v>C14E03 Tessa: geometry.path_length_m</x:v>
      </x:c>
      <x:c r="E994" s="60" t="n">
        <x:v>8</x:v>
      </x:c>
      <x:c r="F994" s="19" t="str">
        <x:v>Planned</x:v>
      </x:c>
    </x:row>
    <x:row r="995" ht="32" customHeight="1">
      <x:c r="A995" s="17" t="str">
        <x:v>F988</x:v>
      </x:c>
      <x:c r="B995" s="51" t="n">
        <x:v>14</x:v>
      </x:c>
      <x:c r="C995" s="17" t="str">
        <x:v>Event detail</x:v>
      </x:c>
      <x:c r="D995" s="20" t="str">
        <x:v>C14E03 Tessa: geometry.visible_traversable_physical_path</x:v>
      </x:c>
      <x:c r="E995" s="59" t="b">
        <x:v>1</x:v>
      </x:c>
      <x:c r="F995" s="20" t="str">
        <x:v>Planned</x:v>
      </x:c>
    </x:row>
    <x:row r="996" ht="32" customHeight="1">
      <x:c r="A996" s="2" t="str">
        <x:v>F989</x:v>
      </x:c>
      <x:c r="B996" s="50" t="n">
        <x:v>14</x:v>
      </x:c>
      <x:c r="C996" s="2" t="str">
        <x:v>Event detail</x:v>
      </x:c>
      <x:c r="D996" s="19" t="str">
        <x:v>C14E03 Tessa: geometry.passes_through_creature_wall_or_restraint</x:v>
      </x:c>
      <x:c r="E996" s="58" t="b">
        <x:v>0</x:v>
      </x:c>
      <x:c r="F996" s="19" t="str">
        <x:v>Planned</x:v>
      </x:c>
    </x:row>
    <x:row r="997" ht="32" customHeight="1">
      <x:c r="A997" s="17" t="str">
        <x:v>F990</x:v>
      </x:c>
      <x:c r="B997" s="51" t="n">
        <x:v>14</x:v>
      </x:c>
      <x:c r="C997" s="17" t="str">
        <x:v>Event detail</x:v>
      </x:c>
      <x:c r="D997" s="20" t="str">
        <x:v>C14E03 Tessa: geometry.carries_another_adult</x:v>
      </x:c>
      <x:c r="E997" s="59" t="b">
        <x:v>0</x:v>
      </x:c>
      <x:c r="F997" s="20" t="str">
        <x:v>Planned</x:v>
      </x:c>
    </x:row>
    <x:row r="998" ht="32" customHeight="1">
      <x:c r="A998" s="2" t="str">
        <x:v>F991</x:v>
      </x:c>
      <x:c r="B998" s="50" t="n">
        <x:v>14</x:v>
      </x:c>
      <x:c r="C998" s="2" t="str">
        <x:v>Event detail</x:v>
      </x:c>
      <x:c r="D998" s="19" t="str">
        <x:v>C14E03 Tessa: geometry.crosses_otherwise_impossible_gap</x:v>
      </x:c>
      <x:c r="E998" s="58" t="b">
        <x:v>0</x:v>
      </x:c>
      <x:c r="F998" s="19" t="str">
        <x:v>Planned</x:v>
      </x:c>
    </x:row>
    <x:row r="999" ht="32" customHeight="1">
      <x:c r="A999" s="17" t="str">
        <x:v>F992</x:v>
      </x:c>
      <x:c r="B999" s="51" t="n">
        <x:v>14</x:v>
      </x:c>
      <x:c r="C999" s="17" t="str">
        <x:v>Event detail</x:v>
      </x:c>
      <x:c r="D999" s="20" t="str">
        <x:v>C14E03 Tessa: geometry.hazard_immunity_assumed</x:v>
      </x:c>
      <x:c r="E999" s="59" t="b">
        <x:v>0</x:v>
      </x:c>
      <x:c r="F999" s="20" t="str">
        <x:v>Planned</x:v>
      </x:c>
    </x:row>
    <x:row r="1000" ht="28" customHeight="1">
      <x:c r="A1000" s="2" t="str">
        <x:v>F993</x:v>
      </x:c>
      <x:c r="B1000" s="50" t="n">
        <x:v>14</x:v>
      </x:c>
      <x:c r="C1000" s="2" t="str">
        <x:v>Event detail</x:v>
      </x:c>
      <x:c r="D1000" s="19" t="str">
        <x:v>C14E04 Dane: target</x:v>
      </x:c>
      <x:c r="E1000" s="19" t="str">
        <x:v>clearance worker within8m</x:v>
      </x:c>
      <x:c r="F1000" s="19" t="str">
        <x:v>Planned</x:v>
      </x:c>
    </x:row>
    <x:row r="1001" ht="28" customHeight="1">
      <x:c r="A1001" s="17" t="str">
        <x:v>F994</x:v>
      </x:c>
      <x:c r="B1001" s="51" t="n">
        <x:v>14</x:v>
      </x:c>
      <x:c r="C1001" s="17" t="str">
        <x:v>Event detail</x:v>
      </x:c>
      <x:c r="D1001" s="20" t="str">
        <x:v>C14E04 Dane: geometry.path_length_m</x:v>
      </x:c>
      <x:c r="E1001" s="61" t="n">
        <x:v>6</x:v>
      </x:c>
      <x:c r="F1001" s="20" t="str">
        <x:v>Planned</x:v>
      </x:c>
    </x:row>
    <x:row r="1002" ht="28" customHeight="1">
      <x:c r="A1002" s="2" t="str">
        <x:v>F995</x:v>
      </x:c>
      <x:c r="B1002" s="50" t="n">
        <x:v>14</x:v>
      </x:c>
      <x:c r="C1002" s="2" t="str">
        <x:v>Event detail</x:v>
      </x:c>
      <x:c r="D1002" s="19" t="str">
        <x:v>C14E04 Dane: geometry.visible_ally</x:v>
      </x:c>
      <x:c r="E1002" s="58" t="b">
        <x:v>1</x:v>
      </x:c>
      <x:c r="F1002" s="19" t="str">
        <x:v>Planned</x:v>
      </x:c>
    </x:row>
    <x:row r="1003" ht="32" customHeight="1">
      <x:c r="A1003" s="17" t="str">
        <x:v>F996</x:v>
      </x:c>
      <x:c r="B1003" s="51" t="n">
        <x:v>14</x:v>
      </x:c>
      <x:c r="C1003" s="17" t="str">
        <x:v>Event detail</x:v>
      </x:c>
      <x:c r="D1003" s="20" t="str">
        <x:v>C14E04 Dane: geometry.clear_physical_path</x:v>
      </x:c>
      <x:c r="E1003" s="59" t="b">
        <x:v>1</x:v>
      </x:c>
      <x:c r="F1003" s="20" t="str">
        <x:v>Planned</x:v>
      </x:c>
    </x:row>
    <x:row r="1004" ht="32" customHeight="1">
      <x:c r="A1004" s="2" t="str">
        <x:v>F997</x:v>
      </x:c>
      <x:c r="B1004" s="50" t="n">
        <x:v>14</x:v>
      </x:c>
      <x:c r="C1004" s="2" t="str">
        <x:v>Event detail</x:v>
      </x:c>
      <x:c r="D1004" s="19" t="str">
        <x:v>C14E04 Dane: geometry.functional_weapon_in_right_hand</x:v>
      </x:c>
      <x:c r="E1004" s="58" t="b">
        <x:v>1</x:v>
      </x:c>
      <x:c r="F1004" s="19" t="str">
        <x:v>Planned</x:v>
      </x:c>
    </x:row>
    <x:row r="1005" ht="32" customHeight="1">
      <x:c r="A1005" s="17" t="str">
        <x:v>F998</x:v>
      </x:c>
      <x:c r="B1005" s="51" t="n">
        <x:v>14</x:v>
      </x:c>
      <x:c r="C1005" s="17" t="str">
        <x:v>Event detail</x:v>
      </x:c>
      <x:c r="D1005" s="20" t="str">
        <x:v>C14E04 Dane: geometry.uses_enhanced_block</x:v>
      </x:c>
      <x:c r="E1005" s="59" t="b">
        <x:v>1</x:v>
      </x:c>
      <x:c r="F1005" s="20" t="str">
        <x:v>Planned</x:v>
      </x:c>
    </x:row>
    <x:row r="1006" ht="32" customHeight="1">
      <x:c r="A1006" s="2" t="str">
        <x:v>F999</x:v>
      </x:c>
      <x:c r="B1006" s="50" t="n">
        <x:v>14</x:v>
      </x:c>
      <x:c r="C1006" s="2" t="str">
        <x:v>Event detail</x:v>
      </x:c>
      <x:c r="D1006" s="19" t="str">
        <x:v>C14E04 Dane: geometry.block_seconds_after_activation</x:v>
      </x:c>
      <x:c r="E1006" s="60" t="n">
        <x:v>1</x:v>
      </x:c>
      <x:c r="F1006" s="19" t="str">
        <x:v>Planned</x:v>
      </x:c>
    </x:row>
    <x:row r="1007" ht="32" customHeight="1">
      <x:c r="A1007" s="17" t="str">
        <x:v>F1000</x:v>
      </x:c>
      <x:c r="B1007" s="51" t="n">
        <x:v>14</x:v>
      </x:c>
      <x:c r="C1007" s="17" t="str">
        <x:v>Event detail</x:v>
      </x:c>
      <x:c r="D1007" s="20" t="str">
        <x:v>C14E04 Dane: geometry.parryable_physical_attack</x:v>
      </x:c>
      <x:c r="E1007" s="59" t="b">
        <x:v>1</x:v>
      </x:c>
      <x:c r="F1007" s="20" t="str">
        <x:v>Planned</x:v>
      </x:c>
    </x:row>
    <x:row r="1008" ht="32" customHeight="1">
      <x:c r="A1008" s="2" t="str">
        <x:v>F1001</x:v>
      </x:c>
      <x:c r="B1008" s="50" t="n">
        <x:v>14</x:v>
      </x:c>
      <x:c r="C1008" s="2" t="str">
        <x:v>Event detail</x:v>
      </x:c>
      <x:c r="D1008" s="19" t="str">
        <x:v>C14E04 Dane: geometry.all_direction_protection_assumed</x:v>
      </x:c>
      <x:c r="E1008" s="58" t="b">
        <x:v>0</x:v>
      </x:c>
      <x:c r="F1008" s="19" t="str">
        <x:v>Planned</x:v>
      </x:c>
    </x:row>
    <x:row r="1009" ht="28" customHeight="1">
      <x:c r="A1009" s="17" t="str">
        <x:v>F1002</x:v>
      </x:c>
      <x:c r="B1009" s="51" t="n">
        <x:v>14</x:v>
      </x:c>
      <x:c r="C1009" s="17" t="str">
        <x:v>Event detail</x:v>
      </x:c>
      <x:c r="D1009" s="20" t="str">
        <x:v>C14E05 Kip: target</x:v>
      </x:c>
      <x:c r="E1009" s="20" t="str">
        <x:v>physical hunter lunge lane</x:v>
      </x:c>
      <x:c r="F1009" s="20" t="str">
        <x:v>Planned</x:v>
      </x:c>
    </x:row>
    <x:row r="1010" ht="28" customHeight="1">
      <x:c r="A1010" s="2" t="str">
        <x:v>F1003</x:v>
      </x:c>
      <x:c r="B1010" s="50" t="n">
        <x:v>14</x:v>
      </x:c>
      <x:c r="C1010" s="2" t="str">
        <x:v>Event detail</x:v>
      </x:c>
      <x:c r="D1010" s="19" t="str">
        <x:v>C14E05 Kip: setup_seconds</x:v>
      </x:c>
      <x:c r="E1010" s="60" t="n">
        <x:v>2</x:v>
      </x:c>
      <x:c r="F1010" s="19" t="str">
        <x:v>Planned</x:v>
      </x:c>
    </x:row>
    <x:row r="1011" ht="32" customHeight="1">
      <x:c r="A1011" s="17" t="str">
        <x:v>F1004</x:v>
      </x:c>
      <x:c r="B1011" s="51" t="n">
        <x:v>14</x:v>
      </x:c>
      <x:c r="C1011" s="17" t="str">
        <x:v>Event detail</x:v>
      </x:c>
      <x:c r="D1011" s="20" t="str">
        <x:v>C14E05 Kip: physical_impact_seconds_after_start</x:v>
      </x:c>
      <x:c r="E1011" s="61" t="n">
        <x:v>8</x:v>
      </x:c>
      <x:c r="F1011" s="20" t="str">
        <x:v>Planned</x:v>
      </x:c>
    </x:row>
    <x:row r="1012" ht="28" customHeight="1">
      <x:c r="A1012" s="2" t="str">
        <x:v>F1005</x:v>
      </x:c>
      <x:c r="B1012" s="50" t="n">
        <x:v>14</x:v>
      </x:c>
      <x:c r="C1012" s="2" t="str">
        <x:v>Event detail</x:v>
      </x:c>
      <x:c r="D1012" s="19" t="str">
        <x:v>C14E05 Kip: geometry.clear_ground</x:v>
      </x:c>
      <x:c r="E1012" s="58" t="b">
        <x:v>1</x:v>
      </x:c>
      <x:c r="F1012" s="19" t="str">
        <x:v>Planned</x:v>
      </x:c>
    </x:row>
    <x:row r="1013" ht="28" customHeight="1">
      <x:c r="A1013" s="17" t="str">
        <x:v>F1006</x:v>
      </x:c>
      <x:c r="B1013" s="51" t="n">
        <x:v>14</x:v>
      </x:c>
      <x:c r="C1013" s="17" t="str">
        <x:v>Event detail</x:v>
      </x:c>
      <x:c r="D1013" s="20" t="str">
        <x:v>C14E05 Kip: geometry.within_3m</x:v>
      </x:c>
      <x:c r="E1013" s="59" t="b">
        <x:v>1</x:v>
      </x:c>
      <x:c r="F1013" s="20" t="str">
        <x:v>Planned</x:v>
      </x:c>
    </x:row>
    <x:row r="1014" ht="28" customHeight="1">
      <x:c r="A1014" s="2" t="str">
        <x:v>F1007</x:v>
      </x:c>
      <x:c r="B1014" s="50" t="n">
        <x:v>14</x:v>
      </x:c>
      <x:c r="C1014" s="2" t="str">
        <x:v>Event detail</x:v>
      </x:c>
      <x:c r="D1014" s="19" t="str">
        <x:v>C14E05 Kip: geometry.upright_2m_square</x:v>
      </x:c>
      <x:c r="E1014" s="58" t="b">
        <x:v>1</x:v>
      </x:c>
      <x:c r="F1014" s="19" t="str">
        <x:v>Planned</x:v>
      </x:c>
    </x:row>
    <x:row r="1015" ht="28" customHeight="1">
      <x:c r="A1015" s="17" t="str">
        <x:v>F1008</x:v>
      </x:c>
      <x:c r="B1015" s="51" t="n">
        <x:v>14</x:v>
      </x:c>
      <x:c r="C1015" s="17" t="str">
        <x:v>Event detail</x:v>
      </x:c>
      <x:c r="D1015" s="20" t="str">
        <x:v>C14E05 Kip: geometry.stationary</x:v>
      </x:c>
      <x:c r="E1015" s="59" t="b">
        <x:v>1</x:v>
      </x:c>
      <x:c r="F1015" s="20" t="str">
        <x:v>Planned</x:v>
      </x:c>
    </x:row>
    <x:row r="1016" ht="32" customHeight="1">
      <x:c r="A1016" s="2" t="str">
        <x:v>F1009</x:v>
      </x:c>
      <x:c r="B1016" s="50" t="n">
        <x:v>14</x:v>
      </x:c>
      <x:c r="C1016" s="2" t="str">
        <x:v>Event detail</x:v>
      </x:c>
      <x:c r="D1016" s="19" t="str">
        <x:v>C14E05 Kip: geometry.physical_impact_crosses_front</x:v>
      </x:c>
      <x:c r="E1016" s="58" t="b">
        <x:v>1</x:v>
      </x:c>
      <x:c r="F1016" s="19" t="str">
        <x:v>Planned</x:v>
      </x:c>
    </x:row>
    <x:row r="1017" ht="32" customHeight="1">
      <x:c r="A1017" s="17" t="str">
        <x:v>F1010</x:v>
      </x:c>
      <x:c r="B1017" s="51" t="n">
        <x:v>14</x:v>
      </x:c>
      <x:c r="C1017" s="17" t="str">
        <x:v>Event detail</x:v>
      </x:c>
      <x:c r="D1017" s="20" t="str">
        <x:v>C14E05 Kip: geometry.blocks_heat_or_water</x:v>
      </x:c>
      <x:c r="E1017" s="59" t="b">
        <x:v>0</x:v>
      </x:c>
      <x:c r="F1017" s="20" t="str">
        <x:v>Planned</x:v>
      </x:c>
    </x:row>
    <x:row r="1018" ht="28" customHeight="1">
      <x:c r="A1018" s="2" t="str">
        <x:v>F1011</x:v>
      </x:c>
      <x:c r="B1018" s="50" t="n">
        <x:v>14</x:v>
      </x:c>
      <x:c r="C1018" s="2" t="str">
        <x:v>Event detail</x:v>
      </x:c>
      <x:c r="D1018" s="19" t="str">
        <x:v>C14E06 Dane: target</x:v>
      </x:c>
      <x:c r="E1018" s="19" t="str">
        <x:v>front of worker evacuation</x:v>
      </x:c>
      <x:c r="F1018" s="19" t="str">
        <x:v>Planned</x:v>
      </x:c>
    </x:row>
    <x:row r="1019" ht="32" customHeight="1">
      <x:c r="A1019" s="17" t="str">
        <x:v>F1012</x:v>
      </x:c>
      <x:c r="B1019" s="51" t="n">
        <x:v>14</x:v>
      </x:c>
      <x:c r="C1019" s="17" t="str">
        <x:v>Event detail</x:v>
      </x:c>
      <x:c r="D1019" s="20" t="str">
        <x:v>C14E06 Dane: geometry.weapon_raised_in_right_hand</x:v>
      </x:c>
      <x:c r="E1019" s="59" t="b">
        <x:v>1</x:v>
      </x:c>
      <x:c r="F1019" s="20" t="str">
        <x:v>Planned</x:v>
      </x:c>
    </x:row>
    <x:row r="1020" ht="28" customHeight="1">
      <x:c r="A1020" s="2" t="str">
        <x:v>F1013</x:v>
      </x:c>
      <x:c r="B1020" s="50" t="n">
        <x:v>14</x:v>
      </x:c>
      <x:c r="C1020" s="2" t="str">
        <x:v>Event detail</x:v>
      </x:c>
      <x:c r="D1020" s="19" t="str">
        <x:v>C14E06 Dane: geometry.effect_seconds</x:v>
      </x:c>
      <x:c r="E1020" s="60" t="n">
        <x:v>8</x:v>
      </x:c>
      <x:c r="F1020" s="19" t="str">
        <x:v>Planned</x:v>
      </x:c>
    </x:row>
    <x:row r="1021" ht="32" customHeight="1">
      <x:c r="A1021" s="17" t="str">
        <x:v>F1014</x:v>
      </x:c>
      <x:c r="B1021" s="51" t="n">
        <x:v>14</x:v>
      </x:c>
      <x:c r="C1021" s="17" t="str">
        <x:v>Event detail</x:v>
      </x:c>
      <x:c r="D1021" s="20" t="str">
        <x:v>C14E06 Dane: geometry.physical_attack_crosses_front</x:v>
      </x:c>
      <x:c r="E1021" s="59" t="b">
        <x:v>1</x:v>
      </x:c>
      <x:c r="F1021" s="20" t="str">
        <x:v>Planned</x:v>
      </x:c>
    </x:row>
    <x:row r="1022" ht="32" customHeight="1">
      <x:c r="A1022" s="2" t="str">
        <x:v>F1015</x:v>
      </x:c>
      <x:c r="B1022" s="50" t="n">
        <x:v>14</x:v>
      </x:c>
      <x:c r="C1022" s="2" t="str">
        <x:v>Event detail</x:v>
      </x:c>
      <x:c r="D1022" s="19" t="str">
        <x:v>C14E06 Dane: geometry.runs_or_attacks_during_effect</x:v>
      </x:c>
      <x:c r="E1022" s="58" t="b">
        <x:v>0</x:v>
      </x:c>
      <x:c r="F1022" s="19" t="str">
        <x:v>Planned</x:v>
      </x:c>
    </x:row>
    <x:row r="1023" ht="32" customHeight="1">
      <x:c r="A1023" s="17" t="str">
        <x:v>F1016</x:v>
      </x:c>
      <x:c r="B1023" s="51" t="n">
        <x:v>14</x:v>
      </x:c>
      <x:c r="C1023" s="17" t="str">
        <x:v>Event detail</x:v>
      </x:c>
      <x:c r="D1023" s="20" t="str">
        <x:v>C14E06 Dane: geometry.blocks_heat_poison_or_suffocation</x:v>
      </x:c>
      <x:c r="E1023" s="59" t="b">
        <x:v>0</x:v>
      </x:c>
      <x:c r="F1023" s="20" t="str">
        <x:v>Planned</x:v>
      </x:c>
    </x:row>
    <x:row r="1024" ht="32" customHeight="1">
      <x:c r="A1024" s="2" t="str">
        <x:v>F1017</x:v>
      </x:c>
      <x:c r="B1024" s="50" t="n">
        <x:v>14</x:v>
      </x:c>
      <x:c r="C1024" s="2" t="str">
        <x:v>Event detail</x:v>
      </x:c>
      <x:c r="D1024" s="19" t="str">
        <x:v>C14E06 Dane: geometry.reduced_force_still_can_hurt</x:v>
      </x:c>
      <x:c r="E1024" s="58" t="b">
        <x:v>1</x:v>
      </x:c>
      <x:c r="F1024" s="19" t="str">
        <x:v>Planned</x:v>
      </x:c>
    </x:row>
    <x:row r="1025" ht="28" customHeight="1">
      <x:c r="A1025" s="17" t="str">
        <x:v>F1018</x:v>
      </x:c>
      <x:c r="B1025" s="51" t="n">
        <x:v>14</x:v>
      </x:c>
      <x:c r="C1025" s="17" t="str">
        <x:v>Event detail</x:v>
      </x:c>
      <x:c r="D1025" s="20" t="str">
        <x:v>C14E07 Kip: target</x:v>
      </x:c>
      <x:c r="E1025" s="20" t="str">
        <x:v>hot-cavern second gate fixture</x:v>
      </x:c>
      <x:c r="F1025" s="20" t="str">
        <x:v>Planned</x:v>
      </x:c>
    </x:row>
    <x:row r="1026" ht="28" customHeight="1">
      <x:c r="A1026" s="2" t="str">
        <x:v>F1019</x:v>
      </x:c>
      <x:c r="B1026" s="50" t="n">
        <x:v>14</x:v>
      </x:c>
      <x:c r="C1026" s="2" t="str">
        <x:v>Event detail</x:v>
      </x:c>
      <x:c r="D1026" s="19" t="str">
        <x:v>C14E07 Kip: note</x:v>
      </x:c>
      <x:c r="E1026" s="19" t="str">
        <x:v>Existing5-second suppression at previously inspected fixture.</x:v>
      </x:c>
      <x:c r="F1026" s="19" t="str">
        <x:v>Planned</x:v>
      </x:c>
    </x:row>
    <x:row r="1027" ht="28" customHeight="1">
      <x:c r="A1027" s="17" t="str">
        <x:v>F1020</x:v>
      </x:c>
      <x:c r="B1027" s="51" t="n">
        <x:v>14</x:v>
      </x:c>
      <x:c r="C1027" s="17" t="str">
        <x:v>Event detail</x:v>
      </x:c>
      <x:c r="D1027" s="20" t="str">
        <x:v>C14E07 Kip: control_seconds</x:v>
      </x:c>
      <x:c r="E1027" s="61" t="n">
        <x:v>5</x:v>
      </x:c>
      <x:c r="F1027" s="20" t="str">
        <x:v>Planned</x:v>
      </x:c>
    </x:row>
    <x:row r="1028" ht="28" customHeight="1">
      <x:c r="A1028" s="2" t="str">
        <x:v>F1021</x:v>
      </x:c>
      <x:c r="B1028" s="50" t="n">
        <x:v>14</x:v>
      </x:c>
      <x:c r="C1028" s="2" t="str">
        <x:v>Event detail</x:v>
      </x:c>
      <x:c r="D1028" s="19" t="str">
        <x:v>C14E07 Kip: geometry.distance_m</x:v>
      </x:c>
      <x:c r="E1028" s="60" t="n">
        <x:v>13</x:v>
      </x:c>
      <x:c r="F1028" s="19" t="str">
        <x:v>Planned</x:v>
      </x:c>
    </x:row>
    <x:row r="1029" ht="32" customHeight="1">
      <x:c r="A1029" s="17" t="str">
        <x:v>F1022</x:v>
      </x:c>
      <x:c r="B1029" s="51" t="n">
        <x:v>14</x:v>
      </x:c>
      <x:c r="C1029" s="17" t="str">
        <x:v>Event detail</x:v>
      </x:c>
      <x:c r="D1029" s="20" t="str">
        <x:v>C14E07 Kip: geometry.prior_sight_distance_m</x:v>
      </x:c>
      <x:c r="E1029" s="61" t="n">
        <x:v>9</x:v>
      </x:c>
      <x:c r="F1029" s="20" t="str">
        <x:v>Planned</x:v>
      </x:c>
    </x:row>
    <x:row r="1030" ht="32" customHeight="1">
      <x:c r="A1030" s="2" t="str">
        <x:v>F1023</x:v>
      </x:c>
      <x:c r="B1030" s="50" t="n">
        <x:v>14</x:v>
      </x:c>
      <x:c r="C1030" s="2" t="str">
        <x:v>Event detail</x:v>
      </x:c>
      <x:c r="D1030" s="19" t="str">
        <x:v>C14E07 Kip: geometry.prior_sight_attention_seconds</x:v>
      </x:c>
      <x:c r="E1030" s="60" t="n">
        <x:v>1</x:v>
      </x:c>
      <x:c r="F1030" s="19" t="str">
        <x:v>Planned</x:v>
      </x:c>
    </x:row>
    <x:row r="1031" ht="28" customHeight="1">
      <x:c r="A1031" s="17" t="str">
        <x:v>F1024</x:v>
      </x:c>
      <x:c r="B1031" s="51" t="n">
        <x:v>14</x:v>
      </x:c>
      <x:c r="C1031" s="17" t="str">
        <x:v>Event detail</x:v>
      </x:c>
      <x:c r="D1031" s="20" t="str">
        <x:v>C14E07 Kip: geometry.visible_at_start</x:v>
      </x:c>
      <x:c r="E1031" s="59" t="b">
        <x:v>1</x:v>
      </x:c>
      <x:c r="F1031" s="20" t="str">
        <x:v>Planned</x:v>
      </x:c>
    </x:row>
    <x:row r="1032" ht="32" customHeight="1">
      <x:c r="A1032" s="2" t="str">
        <x:v>F1025</x:v>
      </x:c>
      <x:c r="B1032" s="50" t="n">
        <x:v>14</x:v>
      </x:c>
      <x:c r="C1032" s="2" t="str">
        <x:v>Event detail</x:v>
      </x:c>
      <x:c r="D1032" s="19" t="str">
        <x:v>C14E07 Kip: geometry.available_at_start</x:v>
      </x:c>
      <x:c r="E1032" s="58" t="b">
        <x:v>1</x:v>
      </x:c>
      <x:c r="F1032" s="19" t="str">
        <x:v>Planned</x:v>
      </x:c>
    </x:row>
    <x:row r="1033" ht="32" customHeight="1">
      <x:c r="A1033" s="17" t="str">
        <x:v>F1026</x:v>
      </x:c>
      <x:c r="B1033" s="51" t="n">
        <x:v>14</x:v>
      </x:c>
      <x:c r="C1033" s="17" t="str">
        <x:v>Event detail</x:v>
      </x:c>
      <x:c r="D1033" s="20" t="str">
        <x:v>C14E07 Kip: geometry.within_normal_mechanical_arc</x:v>
      </x:c>
      <x:c r="E1033" s="59" t="b">
        <x:v>1</x:v>
      </x:c>
      <x:c r="F1033" s="20" t="str">
        <x:v>Planned</x:v>
      </x:c>
    </x:row>
    <x:row r="1034" ht="28" customHeight="1">
      <x:c r="A1034" s="2" t="str">
        <x:v>F1027</x:v>
      </x:c>
      <x:c r="B1034" s="50" t="n">
        <x:v>14</x:v>
      </x:c>
      <x:c r="C1034" s="2" t="str">
        <x:v>Event detail</x:v>
      </x:c>
      <x:c r="D1034" s="19" t="str">
        <x:v>C14E07 Kip: geometry.ready_at_start</x:v>
      </x:c>
      <x:c r="E1034" s="58" t="b">
        <x:v>1</x:v>
      </x:c>
      <x:c r="F1034" s="19" t="str">
        <x:v>Planned</x:v>
      </x:c>
    </x:row>
    <x:row r="1035" ht="32" customHeight="1">
      <x:c r="A1035" s="17" t="str">
        <x:v>F1028</x:v>
      </x:c>
      <x:c r="B1035" s="51" t="n">
        <x:v>14</x:v>
      </x:c>
      <x:c r="C1035" s="17" t="str">
        <x:v>Event detail</x:v>
      </x:c>
      <x:c r="D1035" s="20" t="str">
        <x:v>C14E07 Kip: geometry.target_is_constructed_fixture</x:v>
      </x:c>
      <x:c r="E1035" s="59" t="b">
        <x:v>1</x:v>
      </x:c>
      <x:c r="F1035" s="20" t="str">
        <x:v>Planned</x:v>
      </x:c>
    </x:row>
    <x:row r="1036" ht="32" customHeight="1">
      <x:c r="A1036" s="2" t="str">
        <x:v>F1029</x:v>
      </x:c>
      <x:c r="B1036" s="50" t="n">
        <x:v>14</x:v>
      </x:c>
      <x:c r="C1036" s="2" t="str">
        <x:v>Event detail</x:v>
      </x:c>
      <x:c r="D1036" s="19" t="str">
        <x:v>C14E07 Kip: geometry.shield_removed_physically_if_any</x:v>
      </x:c>
      <x:c r="E1036" s="58" t="b">
        <x:v>1</x:v>
      </x:c>
      <x:c r="F1036" s="19" t="str">
        <x:v>Planned</x:v>
      </x:c>
    </x:row>
    <x:row r="1037" ht="28" customHeight="1">
      <x:c r="A1037" s="17" t="str">
        <x:v>F1030</x:v>
      </x:c>
      <x:c r="B1037" s="51" t="n">
        <x:v>14</x:v>
      </x:c>
      <x:c r="C1037" s="17" t="str">
        <x:v>Event detail</x:v>
      </x:c>
      <x:c r="D1037" s="20" t="str">
        <x:v>C14E07 Kip: outcome</x:v>
      </x:c>
      <x:c r="E1037" s="20" t="str">
        <x:v>ordinary legal fixture function, no strengthened output</x:v>
      </x:c>
      <x:c r="F1037" s="20" t="str">
        <x:v>Planned</x:v>
      </x:c>
    </x:row>
    <x:row r="1038" ht="28" customHeight="1">
      <x:c r="A1038" s="2" t="str">
        <x:v>F1031</x:v>
      </x:c>
      <x:c r="B1038" s="50" t="n">
        <x:v>14</x:v>
      </x:c>
      <x:c r="C1038" s="2" t="str">
        <x:v>Event detail</x:v>
      </x:c>
      <x:c r="D1038" s="19" t="str">
        <x:v>C14E08 Owen: target</x:v>
      </x:c>
      <x:c r="E1038" s="19" t="str">
        <x:v>first rescued workers 11cm/0.5cm cut</x:v>
      </x:c>
      <x:c r="F1038" s="19" t="str">
        <x:v>Planned</x:v>
      </x:c>
    </x:row>
    <x:row r="1039" ht="28" customHeight="1">
      <x:c r="A1039" s="17" t="str">
        <x:v>F1032</x:v>
      </x:c>
      <x:c r="B1039" s="51" t="n">
        <x:v>14</x:v>
      </x:c>
      <x:c r="C1039" s="17" t="str">
        <x:v>Event detail</x:v>
      </x:c>
      <x:c r="D1039" s="20" t="str">
        <x:v>C14E08 Owen: geometry.wound_length_cm</x:v>
      </x:c>
      <x:c r="E1039" s="61" t="n">
        <x:v>11</x:v>
      </x:c>
      <x:c r="F1039" s="20" t="str">
        <x:v>Planned</x:v>
      </x:c>
    </x:row>
    <x:row r="1040" ht="28" customHeight="1">
      <x:c r="A1040" s="2" t="str">
        <x:v>F1033</x:v>
      </x:c>
      <x:c r="B1040" s="50" t="n">
        <x:v>14</x:v>
      </x:c>
      <x:c r="C1040" s="2" t="str">
        <x:v>Event detail</x:v>
      </x:c>
      <x:c r="D1040" s="19" t="str">
        <x:v>C14E08 Owen: geometry.wound_depth_cm</x:v>
      </x:c>
      <x:c r="E1040" s="63" t="n">
        <x:v>0.5</x:v>
      </x:c>
      <x:c r="F1040" s="19" t="str">
        <x:v>Planned</x:v>
      </x:c>
    </x:row>
    <x:row r="1041" ht="28" customHeight="1">
      <x:c r="A1041" s="17" t="str">
        <x:v>F1034</x:v>
      </x:c>
      <x:c r="B1041" s="51" t="n">
        <x:v>14</x:v>
      </x:c>
      <x:c r="C1041" s="17" t="str">
        <x:v>Event detail</x:v>
      </x:c>
      <x:c r="D1041" s="20" t="str">
        <x:v>C14E08 Owen: geometry.external_wound</x:v>
      </x:c>
      <x:c r="E1041" s="59" t="b">
        <x:v>1</x:v>
      </x:c>
      <x:c r="F1041" s="20" t="str">
        <x:v>Planned</x:v>
      </x:c>
    </x:row>
    <x:row r="1042" ht="32" customHeight="1">
      <x:c r="A1042" s="2" t="str">
        <x:v>F1035</x:v>
      </x:c>
      <x:c r="B1042" s="50" t="n">
        <x:v>14</x:v>
      </x:c>
      <x:c r="C1042" s="2" t="str">
        <x:v>Event detail</x:v>
      </x:c>
      <x:c r="D1042" s="19" t="str">
        <x:v>C14E08 Owen: geometry.tissue_present_and_aligned</x:v>
      </x:c>
      <x:c r="E1042" s="58" t="b">
        <x:v>1</x:v>
      </x:c>
      <x:c r="F1042" s="19" t="str">
        <x:v>Planned</x:v>
      </x:c>
    </x:row>
    <x:row r="1043" ht="32" customHeight="1">
      <x:c r="A1043" s="17" t="str">
        <x:v>F1036</x:v>
      </x:c>
      <x:c r="B1043" s="51" t="n">
        <x:v>14</x:v>
      </x:c>
      <x:c r="C1043" s="17" t="str">
        <x:v>Event detail</x:v>
      </x:c>
      <x:c r="D1043" s="20" t="str">
        <x:v>C14E08 Owen: geometry.uninterrupted_touch_seconds</x:v>
      </x:c>
      <x:c r="E1043" s="61" t="n">
        <x:v>5</x:v>
      </x:c>
      <x:c r="F1043" s="20" t="str">
        <x:v>Planned</x:v>
      </x:c>
    </x:row>
    <x:row r="1044" ht="32" customHeight="1">
      <x:c r="A1044" s="2" t="str">
        <x:v>F1037</x:v>
      </x:c>
      <x:c r="B1044" s="50" t="n">
        <x:v>14</x:v>
      </x:c>
      <x:c r="C1044" s="2" t="str">
        <x:v>Event detail</x:v>
      </x:c>
      <x:c r="D1044" s="19" t="str">
        <x:v>C14E08 Owen: geometry.repairs_bone_blood_organs_or_nerves</x:v>
      </x:c>
      <x:c r="E1044" s="58" t="b">
        <x:v>0</x:v>
      </x:c>
      <x:c r="F1044" s="19" t="str">
        <x:v>Planned</x:v>
      </x:c>
    </x:row>
    <x:row r="1045" ht="32" customHeight="1">
      <x:c r="A1045" s="17" t="str">
        <x:v>F1038</x:v>
      </x:c>
      <x:c r="B1045" s="51" t="n">
        <x:v>14</x:v>
      </x:c>
      <x:c r="C1045" s="17" t="str">
        <x:v>Event detail</x:v>
      </x:c>
      <x:c r="D1045" s="20" t="str">
        <x:v>C14E08 Owen: geometry.protected_position_for_channel_required_in_prose</x:v>
      </x:c>
      <x:c r="E1045" s="59" t="b">
        <x:v>1</x:v>
      </x:c>
      <x:c r="F1045" s="20" t="str">
        <x:v>Planned</x:v>
      </x:c>
    </x:row>
    <x:row r="1046" ht="28" customHeight="1">
      <x:c r="A1046" s="2" t="str">
        <x:v>F1039</x:v>
      </x:c>
      <x:c r="B1046" s="50" t="n">
        <x:v>14</x:v>
      </x:c>
      <x:c r="C1046" s="2" t="str">
        <x:v>Event detail</x:v>
      </x:c>
      <x:c r="D1046" s="19" t="str">
        <x:v>C14E09 Owen: target</x:v>
      </x:c>
      <x:c r="E1046" s="19" t="str">
        <x:v>same eligible wound</x:v>
      </x:c>
      <x:c r="F1046" s="19" t="str">
        <x:v>Planned</x:v>
      </x:c>
    </x:row>
    <x:row r="1047" ht="28" customHeight="1">
      <x:c r="A1047" s="17" t="str">
        <x:v>F1040</x:v>
      </x:c>
      <x:c r="B1047" s="51" t="n">
        <x:v>14</x:v>
      </x:c>
      <x:c r="C1047" s="17" t="str">
        <x:v>Event detail</x:v>
      </x:c>
      <x:c r="D1047" s="20" t="str">
        <x:v>C14E09 Owen: geometry.wound_length_cm</x:v>
      </x:c>
      <x:c r="E1047" s="61" t="n">
        <x:v>11</x:v>
      </x:c>
      <x:c r="F1047" s="20" t="str">
        <x:v>Planned</x:v>
      </x:c>
    </x:row>
    <x:row r="1048" ht="28" customHeight="1">
      <x:c r="A1048" s="2" t="str">
        <x:v>F1041</x:v>
      </x:c>
      <x:c r="B1048" s="50" t="n">
        <x:v>14</x:v>
      </x:c>
      <x:c r="C1048" s="2" t="str">
        <x:v>Event detail</x:v>
      </x:c>
      <x:c r="D1048" s="19" t="str">
        <x:v>C14E09 Owen: geometry.wound_depth_cm</x:v>
      </x:c>
      <x:c r="E1048" s="63" t="n">
        <x:v>0.5</x:v>
      </x:c>
      <x:c r="F1048" s="19" t="str">
        <x:v>Planned</x:v>
      </x:c>
    </x:row>
    <x:row r="1049" ht="28" customHeight="1">
      <x:c r="A1049" s="17" t="str">
        <x:v>F1042</x:v>
      </x:c>
      <x:c r="B1049" s="51" t="n">
        <x:v>14</x:v>
      </x:c>
      <x:c r="C1049" s="17" t="str">
        <x:v>Event detail</x:v>
      </x:c>
      <x:c r="D1049" s="20" t="str">
        <x:v>C14E09 Owen: geometry.external_wound</x:v>
      </x:c>
      <x:c r="E1049" s="59" t="b">
        <x:v>1</x:v>
      </x:c>
      <x:c r="F1049" s="20" t="str">
        <x:v>Planned</x:v>
      </x:c>
    </x:row>
    <x:row r="1050" ht="32" customHeight="1">
      <x:c r="A1050" s="2" t="str">
        <x:v>F1043</x:v>
      </x:c>
      <x:c r="B1050" s="50" t="n">
        <x:v>14</x:v>
      </x:c>
      <x:c r="C1050" s="2" t="str">
        <x:v>Event detail</x:v>
      </x:c>
      <x:c r="D1050" s="19" t="str">
        <x:v>C14E09 Owen: geometry.tissue_present_and_aligned</x:v>
      </x:c>
      <x:c r="E1050" s="58" t="b">
        <x:v>1</x:v>
      </x:c>
      <x:c r="F1050" s="19" t="str">
        <x:v>Planned</x:v>
      </x:c>
    </x:row>
    <x:row r="1051" ht="32" customHeight="1">
      <x:c r="A1051" s="17" t="str">
        <x:v>F1044</x:v>
      </x:c>
      <x:c r="B1051" s="51" t="n">
        <x:v>14</x:v>
      </x:c>
      <x:c r="C1051" s="17" t="str">
        <x:v>Event detail</x:v>
      </x:c>
      <x:c r="D1051" s="20" t="str">
        <x:v>C14E09 Owen: geometry.uninterrupted_touch_seconds</x:v>
      </x:c>
      <x:c r="E1051" s="61" t="n">
        <x:v>20</x:v>
      </x:c>
      <x:c r="F1051" s="20" t="str">
        <x:v>Planned</x:v>
      </x:c>
    </x:row>
    <x:row r="1052" ht="32" customHeight="1">
      <x:c r="A1052" s="2" t="str">
        <x:v>F1045</x:v>
      </x:c>
      <x:c r="B1052" s="50" t="n">
        <x:v>14</x:v>
      </x:c>
      <x:c r="C1052" s="2" t="str">
        <x:v>Event detail</x:v>
      </x:c>
      <x:c r="D1052" s="19" t="str">
        <x:v>C14E09 Owen: geometry.repairs_bone_blood_organs_or_nerves</x:v>
      </x:c>
      <x:c r="E1052" s="58" t="b">
        <x:v>0</x:v>
      </x:c>
      <x:c r="F1052" s="19" t="str">
        <x:v>Planned</x:v>
      </x:c>
    </x:row>
    <x:row r="1053" ht="32" customHeight="1">
      <x:c r="A1053" s="17" t="str">
        <x:v>F1046</x:v>
      </x:c>
      <x:c r="B1053" s="51" t="n">
        <x:v>14</x:v>
      </x:c>
      <x:c r="C1053" s="17" t="str">
        <x:v>Event detail</x:v>
      </x:c>
      <x:c r="D1053" s="20" t="str">
        <x:v>C14E09 Owen: geometry.protected_position_for_channel_required_in_prose</x:v>
      </x:c>
      <x:c r="E1053" s="59" t="b">
        <x:v>1</x:v>
      </x:c>
      <x:c r="F1053" s="20" t="str">
        <x:v>Planned</x:v>
      </x:c>
    </x:row>
    <x:row r="1054" ht="28" customHeight="1">
      <x:c r="A1054" s="2" t="str">
        <x:v>F1047</x:v>
      </x:c>
      <x:c r="B1054" s="50" t="n">
        <x:v>14</x:v>
      </x:c>
      <x:c r="C1054" s="2" t="str">
        <x:v>Event detail</x:v>
      </x:c>
      <x:c r="D1054" s="19" t="str">
        <x:v>C14E10 Owen: target</x:v>
      </x:c>
      <x:c r="E1054" s="19" t="str">
        <x:v>second rescued workers 14cm/0.6cm cut</x:v>
      </x:c>
      <x:c r="F1054" s="19" t="str">
        <x:v>Planned</x:v>
      </x:c>
    </x:row>
    <x:row r="1055" ht="28" customHeight="1">
      <x:c r="A1055" s="17" t="str">
        <x:v>F1048</x:v>
      </x:c>
      <x:c r="B1055" s="51" t="n">
        <x:v>14</x:v>
      </x:c>
      <x:c r="C1055" s="17" t="str">
        <x:v>Event detail</x:v>
      </x:c>
      <x:c r="D1055" s="20" t="str">
        <x:v>C14E10 Owen: geometry.wound_length_cm</x:v>
      </x:c>
      <x:c r="E1055" s="61" t="n">
        <x:v>14</x:v>
      </x:c>
      <x:c r="F1055" s="20" t="str">
        <x:v>Planned</x:v>
      </x:c>
    </x:row>
    <x:row r="1056" ht="28" customHeight="1">
      <x:c r="A1056" s="2" t="str">
        <x:v>F1049</x:v>
      </x:c>
      <x:c r="B1056" s="50" t="n">
        <x:v>14</x:v>
      </x:c>
      <x:c r="C1056" s="2" t="str">
        <x:v>Event detail</x:v>
      </x:c>
      <x:c r="D1056" s="19" t="str">
        <x:v>C14E10 Owen: geometry.wound_depth_cm</x:v>
      </x:c>
      <x:c r="E1056" s="63" t="n">
        <x:v>0.6</x:v>
      </x:c>
      <x:c r="F1056" s="19" t="str">
        <x:v>Planned</x:v>
      </x:c>
    </x:row>
    <x:row r="1057" ht="28" customHeight="1">
      <x:c r="A1057" s="17" t="str">
        <x:v>F1050</x:v>
      </x:c>
      <x:c r="B1057" s="51" t="n">
        <x:v>14</x:v>
      </x:c>
      <x:c r="C1057" s="17" t="str">
        <x:v>Event detail</x:v>
      </x:c>
      <x:c r="D1057" s="20" t="str">
        <x:v>C14E10 Owen: geometry.external_wound</x:v>
      </x:c>
      <x:c r="E1057" s="59" t="b">
        <x:v>1</x:v>
      </x:c>
      <x:c r="F1057" s="20" t="str">
        <x:v>Planned</x:v>
      </x:c>
    </x:row>
    <x:row r="1058" ht="32" customHeight="1">
      <x:c r="A1058" s="2" t="str">
        <x:v>F1051</x:v>
      </x:c>
      <x:c r="B1058" s="50" t="n">
        <x:v>14</x:v>
      </x:c>
      <x:c r="C1058" s="2" t="str">
        <x:v>Event detail</x:v>
      </x:c>
      <x:c r="D1058" s="19" t="str">
        <x:v>C14E10 Owen: geometry.tissue_present_and_aligned</x:v>
      </x:c>
      <x:c r="E1058" s="58" t="b">
        <x:v>1</x:v>
      </x:c>
      <x:c r="F1058" s="19" t="str">
        <x:v>Planned</x:v>
      </x:c>
    </x:row>
    <x:row r="1059" ht="32" customHeight="1">
      <x:c r="A1059" s="17" t="str">
        <x:v>F1052</x:v>
      </x:c>
      <x:c r="B1059" s="51" t="n">
        <x:v>14</x:v>
      </x:c>
      <x:c r="C1059" s="17" t="str">
        <x:v>Event detail</x:v>
      </x:c>
      <x:c r="D1059" s="20" t="str">
        <x:v>C14E10 Owen: geometry.uninterrupted_touch_seconds</x:v>
      </x:c>
      <x:c r="E1059" s="61" t="n">
        <x:v>5</x:v>
      </x:c>
      <x:c r="F1059" s="20" t="str">
        <x:v>Planned</x:v>
      </x:c>
    </x:row>
    <x:row r="1060" ht="32" customHeight="1">
      <x:c r="A1060" s="2" t="str">
        <x:v>F1053</x:v>
      </x:c>
      <x:c r="B1060" s="50" t="n">
        <x:v>14</x:v>
      </x:c>
      <x:c r="C1060" s="2" t="str">
        <x:v>Event detail</x:v>
      </x:c>
      <x:c r="D1060" s="19" t="str">
        <x:v>C14E10 Owen: geometry.repairs_bone_blood_organs_or_nerves</x:v>
      </x:c>
      <x:c r="E1060" s="58" t="b">
        <x:v>0</x:v>
      </x:c>
      <x:c r="F1060" s="19" t="str">
        <x:v>Planned</x:v>
      </x:c>
    </x:row>
    <x:row r="1061" ht="32" customHeight="1">
      <x:c r="A1061" s="17" t="str">
        <x:v>F1054</x:v>
      </x:c>
      <x:c r="B1061" s="51" t="n">
        <x:v>14</x:v>
      </x:c>
      <x:c r="C1061" s="17" t="str">
        <x:v>Event detail</x:v>
      </x:c>
      <x:c r="D1061" s="20" t="str">
        <x:v>C14E10 Owen: geometry.protected_position_for_channel_required_in_prose</x:v>
      </x:c>
      <x:c r="E1061" s="59" t="b">
        <x:v>1</x:v>
      </x:c>
      <x:c r="F1061" s="20" t="str">
        <x:v>Planned</x:v>
      </x:c>
    </x:row>
    <x:row r="1062" ht="28" customHeight="1">
      <x:c r="A1062" s="2" t="str">
        <x:v>F1055</x:v>
      </x:c>
      <x:c r="B1062" s="50" t="n">
        <x:v>14</x:v>
      </x:c>
      <x:c r="C1062" s="2" t="str">
        <x:v>Event detail</x:v>
      </x:c>
      <x:c r="D1062" s="19" t="str">
        <x:v>C14E11 Owen: target</x:v>
      </x:c>
      <x:c r="E1062" s="19" t="str">
        <x:v>same eligible wound</x:v>
      </x:c>
      <x:c r="F1062" s="19" t="str">
        <x:v>Planned</x:v>
      </x:c>
    </x:row>
    <x:row r="1063" ht="28" customHeight="1">
      <x:c r="A1063" s="17" t="str">
        <x:v>F1056</x:v>
      </x:c>
      <x:c r="B1063" s="51" t="n">
        <x:v>14</x:v>
      </x:c>
      <x:c r="C1063" s="17" t="str">
        <x:v>Event detail</x:v>
      </x:c>
      <x:c r="D1063" s="20" t="str">
        <x:v>C14E11 Owen: note</x:v>
      </x:c>
      <x:c r="E1063" s="20" t="str">
        <x:v>Mend starts3min after previous; no bone/blood/heatstroke cure.</x:v>
      </x:c>
      <x:c r="F1063" s="20" t="str">
        <x:v>Planned</x:v>
      </x:c>
    </x:row>
    <x:row r="1064" ht="28" customHeight="1">
      <x:c r="A1064" s="2" t="str">
        <x:v>F1057</x:v>
      </x:c>
      <x:c r="B1064" s="50" t="n">
        <x:v>14</x:v>
      </x:c>
      <x:c r="C1064" s="2" t="str">
        <x:v>Event detail</x:v>
      </x:c>
      <x:c r="D1064" s="19" t="str">
        <x:v>C14E11 Owen: geometry.wound_length_cm</x:v>
      </x:c>
      <x:c r="E1064" s="60" t="n">
        <x:v>14</x:v>
      </x:c>
      <x:c r="F1064" s="19" t="str">
        <x:v>Planned</x:v>
      </x:c>
    </x:row>
    <x:row r="1065" ht="28" customHeight="1">
      <x:c r="A1065" s="17" t="str">
        <x:v>F1058</x:v>
      </x:c>
      <x:c r="B1065" s="51" t="n">
        <x:v>14</x:v>
      </x:c>
      <x:c r="C1065" s="17" t="str">
        <x:v>Event detail</x:v>
      </x:c>
      <x:c r="D1065" s="20" t="str">
        <x:v>C14E11 Owen: geometry.wound_depth_cm</x:v>
      </x:c>
      <x:c r="E1065" s="62" t="n">
        <x:v>0.6</x:v>
      </x:c>
      <x:c r="F1065" s="20" t="str">
        <x:v>Planned</x:v>
      </x:c>
    </x:row>
    <x:row r="1066" ht="28" customHeight="1">
      <x:c r="A1066" s="2" t="str">
        <x:v>F1059</x:v>
      </x:c>
      <x:c r="B1066" s="50" t="n">
        <x:v>14</x:v>
      </x:c>
      <x:c r="C1066" s="2" t="str">
        <x:v>Event detail</x:v>
      </x:c>
      <x:c r="D1066" s="19" t="str">
        <x:v>C14E11 Owen: geometry.external_wound</x:v>
      </x:c>
      <x:c r="E1066" s="58" t="b">
        <x:v>1</x:v>
      </x:c>
      <x:c r="F1066" s="19" t="str">
        <x:v>Planned</x:v>
      </x:c>
    </x:row>
    <x:row r="1067" ht="32" customHeight="1">
      <x:c r="A1067" s="17" t="str">
        <x:v>F1060</x:v>
      </x:c>
      <x:c r="B1067" s="51" t="n">
        <x:v>14</x:v>
      </x:c>
      <x:c r="C1067" s="17" t="str">
        <x:v>Event detail</x:v>
      </x:c>
      <x:c r="D1067" s="20" t="str">
        <x:v>C14E11 Owen: geometry.tissue_present_and_aligned</x:v>
      </x:c>
      <x:c r="E1067" s="59" t="b">
        <x:v>1</x:v>
      </x:c>
      <x:c r="F1067" s="20" t="str">
        <x:v>Planned</x:v>
      </x:c>
    </x:row>
    <x:row r="1068" ht="32" customHeight="1">
      <x:c r="A1068" s="2" t="str">
        <x:v>F1061</x:v>
      </x:c>
      <x:c r="B1068" s="50" t="n">
        <x:v>14</x:v>
      </x:c>
      <x:c r="C1068" s="2" t="str">
        <x:v>Event detail</x:v>
      </x:c>
      <x:c r="D1068" s="19" t="str">
        <x:v>C14E11 Owen: geometry.uninterrupted_touch_seconds</x:v>
      </x:c>
      <x:c r="E1068" s="60" t="n">
        <x:v>20</x:v>
      </x:c>
      <x:c r="F1068" s="19" t="str">
        <x:v>Planned</x:v>
      </x:c>
    </x:row>
    <x:row r="1069" ht="32" customHeight="1">
      <x:c r="A1069" s="17" t="str">
        <x:v>F1062</x:v>
      </x:c>
      <x:c r="B1069" s="51" t="n">
        <x:v>14</x:v>
      </x:c>
      <x:c r="C1069" s="17" t="str">
        <x:v>Event detail</x:v>
      </x:c>
      <x:c r="D1069" s="20" t="str">
        <x:v>C14E11 Owen: geometry.repairs_bone_blood_organs_or_nerves</x:v>
      </x:c>
      <x:c r="E1069" s="59" t="b">
        <x:v>0</x:v>
      </x:c>
      <x:c r="F1069" s="20" t="str">
        <x:v>Planned</x:v>
      </x:c>
    </x:row>
    <x:row r="1070" ht="32" customHeight="1">
      <x:c r="A1070" s="2" t="str">
        <x:v>F1063</x:v>
      </x:c>
      <x:c r="B1070" s="50" t="n">
        <x:v>14</x:v>
      </x:c>
      <x:c r="C1070" s="2" t="str">
        <x:v>Event detail</x:v>
      </x:c>
      <x:c r="D1070" s="19" t="str">
        <x:v>C14E11 Owen: geometry.protected_position_for_channel_required_in_prose</x:v>
      </x:c>
      <x:c r="E1070" s="58" t="b">
        <x:v>1</x:v>
      </x:c>
      <x:c r="F1070" s="19" t="str">
        <x:v>Planned</x:v>
      </x:c>
    </x:row>
    <x:row r="1071" ht="28" customHeight="1">
      <x:c r="A1071" s="17" t="str">
        <x:v>F1064</x:v>
      </x:c>
      <x:c r="B1071" s="51" t="n">
        <x:v>14</x:v>
      </x:c>
      <x:c r="C1071" s="17" t="str">
        <x:v>Event detail</x:v>
      </x:c>
      <x:c r="D1071" s="20" t="str">
        <x:v>C14E13 Kip: note</x:v>
      </x:c>
      <x:c r="E1071" s="20" t="str">
        <x:v>Protected, seated, no casting/movement/attack; another awake person keeps watch.</x:v>
      </x:c>
      <x:c r="F1071" s="20" t="str">
        <x:v>Planned</x:v>
      </x:c>
    </x:row>
    <x:row r="1072" ht="28" customHeight="1">
      <x:c r="A1072" s="2" t="str">
        <x:v>F1065</x:v>
      </x:c>
      <x:c r="B1072" s="50" t="n">
        <x:v>14</x:v>
      </x:c>
      <x:c r="C1072" s="2" t="str">
        <x:v>Event detail</x:v>
      </x:c>
      <x:c r="D1072" s="19" t="str">
        <x:v>C14E13 Kip: ends</x:v>
      </x:c>
      <x:c r="E1072" s="19" t="str">
        <x:v>Day 3 09:07:00</x:v>
      </x:c>
      <x:c r="F1072" s="19" t="str">
        <x:v>Planned</x:v>
      </x:c>
    </x:row>
    <x:row r="1073" ht="28" customHeight="1">
      <x:c r="A1073" s="17" t="str">
        <x:v>F1066</x:v>
      </x:c>
      <x:c r="B1073" s="51" t="n">
        <x:v>14</x:v>
      </x:c>
      <x:c r="C1073" s="17" t="str">
        <x:v>Event detail</x:v>
      </x:c>
      <x:c r="D1073" s="20" t="str">
        <x:v>C14E14 Tessa: note</x:v>
      </x:c>
      <x:c r="E1073" s="20" t="str">
        <x:v>Protected, seated, no casting/movement/attack; another awake person keeps watch.</x:v>
      </x:c>
      <x:c r="F1073" s="20" t="str">
        <x:v>Planned</x:v>
      </x:c>
    </x:row>
    <x:row r="1074" ht="28" customHeight="1">
      <x:c r="A1074" s="2" t="str">
        <x:v>F1067</x:v>
      </x:c>
      <x:c r="B1074" s="50" t="n">
        <x:v>14</x:v>
      </x:c>
      <x:c r="C1074" s="2" t="str">
        <x:v>Event detail</x:v>
      </x:c>
      <x:c r="D1074" s="19" t="str">
        <x:v>C14E14 Tessa: ends</x:v>
      </x:c>
      <x:c r="E1074" s="19" t="str">
        <x:v>Day 3 09:06:00</x:v>
      </x:c>
      <x:c r="F1074" s="19" t="str">
        <x:v>Planned</x:v>
      </x:c>
    </x:row>
    <x:row r="1075" ht="28" customHeight="1">
      <x:c r="A1075" s="17" t="str">
        <x:v>F1068</x:v>
      </x:c>
      <x:c r="B1075" s="51" t="n">
        <x:v>14</x:v>
      </x:c>
      <x:c r="C1075" s="17" t="str">
        <x:v>Event detail</x:v>
      </x:c>
      <x:c r="D1075" s="20" t="str">
        <x:v>C14E15 Owen: note</x:v>
      </x:c>
      <x:c r="E1075" s="20" t="str">
        <x:v>Protected, seated, no casting/movement/attack; another awake person keeps watch.</x:v>
      </x:c>
      <x:c r="F1075" s="20" t="str">
        <x:v>Planned</x:v>
      </x:c>
    </x:row>
    <x:row r="1076" ht="28" customHeight="1">
      <x:c r="A1076" s="2" t="str">
        <x:v>F1069</x:v>
      </x:c>
      <x:c r="B1076" s="50" t="n">
        <x:v>14</x:v>
      </x:c>
      <x:c r="C1076" s="2" t="str">
        <x:v>Event detail</x:v>
      </x:c>
      <x:c r="D1076" s="19" t="str">
        <x:v>C14E15 Owen: ends</x:v>
      </x:c>
      <x:c r="E1076" s="19" t="str">
        <x:v>Day 3 09:12:00</x:v>
      </x:c>
      <x:c r="F1076" s="19" t="str">
        <x:v>Planned</x:v>
      </x:c>
    </x:row>
    <x:row r="1077" ht="28" customHeight="1">
      <x:c r="A1077" s="17" t="str">
        <x:v>F1070</x:v>
      </x:c>
      <x:c r="B1077" s="51" t="n">
        <x:v>14</x:v>
      </x:c>
      <x:c r="C1077" s="17" t="str">
        <x:v>Event detail</x:v>
      </x:c>
      <x:c r="D1077" s="20" t="str">
        <x:v>C14E16 Dane: note</x:v>
      </x:c>
      <x:c r="E1077" s="20" t="str">
        <x:v>Protected, seated, no casting/movement/attack; another awake person keeps watch.</x:v>
      </x:c>
      <x:c r="F1077" s="20" t="str">
        <x:v>Planned</x:v>
      </x:c>
    </x:row>
    <x:row r="1078" ht="28" customHeight="1">
      <x:c r="A1078" s="2" t="str">
        <x:v>F1071</x:v>
      </x:c>
      <x:c r="B1078" s="50" t="n">
        <x:v>14</x:v>
      </x:c>
      <x:c r="C1078" s="2" t="str">
        <x:v>Event detail</x:v>
      </x:c>
      <x:c r="D1078" s="19" t="str">
        <x:v>C14E16 Dane: ends</x:v>
      </x:c>
      <x:c r="E1078" s="19" t="str">
        <x:v>Day 3 09:07:00</x:v>
      </x:c>
      <x:c r="F1078" s="19" t="str">
        <x:v>Planned</x:v>
      </x:c>
    </x:row>
    <x:row r="1079" ht="28" customHeight="1">
      <x:c r="A1079" s="17" t="str">
        <x:v>F1072</x:v>
      </x:c>
      <x:c r="B1079" s="51" t="n">
        <x:v>15</x:v>
      </x:c>
      <x:c r="C1079" s="17" t="str">
        <x:v>Event detail</x:v>
      </x:c>
      <x:c r="D1079" s="20" t="str">
        <x:v>C15E01 Tessa: target</x:v>
      </x:c>
      <x:c r="E1079" s="20" t="str">
        <x:v>clear annex scout route</x:v>
      </x:c>
      <x:c r="F1079" s="20" t="str">
        <x:v>Planned</x:v>
      </x:c>
    </x:row>
    <x:row r="1080" ht="28" customHeight="1">
      <x:c r="A1080" s="2" t="str">
        <x:v>F1073</x:v>
      </x:c>
      <x:c r="B1080" s="50" t="n">
        <x:v>15</x:v>
      </x:c>
      <x:c r="C1080" s="2" t="str">
        <x:v>Event detail</x:v>
      </x:c>
      <x:c r="D1080" s="19" t="str">
        <x:v>C15E01 Tessa: geometry.path_length_m</x:v>
      </x:c>
      <x:c r="E1080" s="60" t="n">
        <x:v>8</x:v>
      </x:c>
      <x:c r="F1080" s="19" t="str">
        <x:v>Planned</x:v>
      </x:c>
    </x:row>
    <x:row r="1081" ht="32" customHeight="1">
      <x:c r="A1081" s="17" t="str">
        <x:v>F1074</x:v>
      </x:c>
      <x:c r="B1081" s="51" t="n">
        <x:v>15</x:v>
      </x:c>
      <x:c r="C1081" s="17" t="str">
        <x:v>Event detail</x:v>
      </x:c>
      <x:c r="D1081" s="20" t="str">
        <x:v>C15E01 Tessa: geometry.visible_traversable_physical_path</x:v>
      </x:c>
      <x:c r="E1081" s="59" t="b">
        <x:v>1</x:v>
      </x:c>
      <x:c r="F1081" s="20" t="str">
        <x:v>Planned</x:v>
      </x:c>
    </x:row>
    <x:row r="1082" ht="32" customHeight="1">
      <x:c r="A1082" s="2" t="str">
        <x:v>F1075</x:v>
      </x:c>
      <x:c r="B1082" s="50" t="n">
        <x:v>15</x:v>
      </x:c>
      <x:c r="C1082" s="2" t="str">
        <x:v>Event detail</x:v>
      </x:c>
      <x:c r="D1082" s="19" t="str">
        <x:v>C15E01 Tessa: geometry.passes_through_creature_wall_or_restraint</x:v>
      </x:c>
      <x:c r="E1082" s="58" t="b">
        <x:v>0</x:v>
      </x:c>
      <x:c r="F1082" s="19" t="str">
        <x:v>Planned</x:v>
      </x:c>
    </x:row>
    <x:row r="1083" ht="32" customHeight="1">
      <x:c r="A1083" s="17" t="str">
        <x:v>F1076</x:v>
      </x:c>
      <x:c r="B1083" s="51" t="n">
        <x:v>15</x:v>
      </x:c>
      <x:c r="C1083" s="17" t="str">
        <x:v>Event detail</x:v>
      </x:c>
      <x:c r="D1083" s="20" t="str">
        <x:v>C15E01 Tessa: geometry.carries_another_adult</x:v>
      </x:c>
      <x:c r="E1083" s="59" t="b">
        <x:v>0</x:v>
      </x:c>
      <x:c r="F1083" s="20" t="str">
        <x:v>Planned</x:v>
      </x:c>
    </x:row>
    <x:row r="1084" ht="32" customHeight="1">
      <x:c r="A1084" s="2" t="str">
        <x:v>F1077</x:v>
      </x:c>
      <x:c r="B1084" s="50" t="n">
        <x:v>15</x:v>
      </x:c>
      <x:c r="C1084" s="2" t="str">
        <x:v>Event detail</x:v>
      </x:c>
      <x:c r="D1084" s="19" t="str">
        <x:v>C15E01 Tessa: geometry.crosses_otherwise_impossible_gap</x:v>
      </x:c>
      <x:c r="E1084" s="58" t="b">
        <x:v>0</x:v>
      </x:c>
      <x:c r="F1084" s="19" t="str">
        <x:v>Planned</x:v>
      </x:c>
    </x:row>
    <x:row r="1085" ht="32" customHeight="1">
      <x:c r="A1085" s="17" t="str">
        <x:v>F1078</x:v>
      </x:c>
      <x:c r="B1085" s="51" t="n">
        <x:v>15</x:v>
      </x:c>
      <x:c r="C1085" s="17" t="str">
        <x:v>Event detail</x:v>
      </x:c>
      <x:c r="D1085" s="20" t="str">
        <x:v>C15E01 Tessa: geometry.hazard_immunity_assumed</x:v>
      </x:c>
      <x:c r="E1085" s="59" t="b">
        <x:v>0</x:v>
      </x:c>
      <x:c r="F1085" s="20" t="str">
        <x:v>Planned</x:v>
      </x:c>
    </x:row>
    <x:row r="1086" ht="28" customHeight="1">
      <x:c r="A1086" s="2" t="str">
        <x:v>F1079</x:v>
      </x:c>
      <x:c r="B1086" s="50" t="n">
        <x:v>15</x:v>
      </x:c>
      <x:c r="C1086" s="2" t="str">
        <x:v>Event detail</x:v>
      </x:c>
      <x:c r="D1086" s="19" t="str">
        <x:v>C15E02 Kip: target</x:v>
      </x:c>
      <x:c r="E1086" s="19" t="str">
        <x:v>annex defensive fixture</x:v>
      </x:c>
      <x:c r="F1086" s="19" t="str">
        <x:v>Planned</x:v>
      </x:c>
    </x:row>
    <x:row r="1087" ht="28" customHeight="1">
      <x:c r="A1087" s="17" t="str">
        <x:v>F1080</x:v>
      </x:c>
      <x:c r="B1087" s="51" t="n">
        <x:v>15</x:v>
      </x:c>
      <x:c r="C1087" s="17" t="str">
        <x:v>Event detail</x:v>
      </x:c>
      <x:c r="D1087" s="20" t="str">
        <x:v>C15E02 Kip: note</x:v>
      </x:c>
      <x:c r="E1087" s="20" t="str">
        <x:v>Valid available target10m; line of sight lost after1sec; paid10 remains.</x:v>
      </x:c>
      <x:c r="F1087" s="20" t="str">
        <x:v>Planned</x:v>
      </x:c>
    </x:row>
    <x:row r="1088" ht="28" customHeight="1">
      <x:c r="A1088" s="2" t="str">
        <x:v>F1081</x:v>
      </x:c>
      <x:c r="B1088" s="50" t="n">
        <x:v>15</x:v>
      </x:c>
      <x:c r="C1088" s="2" t="str">
        <x:v>Event detail</x:v>
      </x:c>
      <x:c r="D1088" s="19" t="str">
        <x:v>C15E02 Kip: control_seconds</x:v>
      </x:c>
      <x:c r="E1088" s="60" t="n">
        <x:v>1</x:v>
      </x:c>
      <x:c r="F1088" s="19" t="str">
        <x:v>Planned</x:v>
      </x:c>
    </x:row>
    <x:row r="1089" ht="28" customHeight="1">
      <x:c r="A1089" s="17" t="str">
        <x:v>F1082</x:v>
      </x:c>
      <x:c r="B1089" s="51" t="n">
        <x:v>15</x:v>
      </x:c>
      <x:c r="C1089" s="17" t="str">
        <x:v>Event detail</x:v>
      </x:c>
      <x:c r="D1089" s="20" t="str">
        <x:v>C15E02 Kip: geometry.distance_m</x:v>
      </x:c>
      <x:c r="E1089" s="61" t="n">
        <x:v>10</x:v>
      </x:c>
      <x:c r="F1089" s="20" t="str">
        <x:v>Planned</x:v>
      </x:c>
    </x:row>
    <x:row r="1090" ht="32" customHeight="1">
      <x:c r="A1090" s="2" t="str">
        <x:v>F1083</x:v>
      </x:c>
      <x:c r="B1090" s="50" t="n">
        <x:v>15</x:v>
      </x:c>
      <x:c r="C1090" s="2" t="str">
        <x:v>Event detail</x:v>
      </x:c>
      <x:c r="D1090" s="19" t="str">
        <x:v>C15E02 Kip: geometry.prior_sight_distance_m</x:v>
      </x:c>
      <x:c r="E1090" s="60" t="n">
        <x:v>10</x:v>
      </x:c>
      <x:c r="F1090" s="19" t="str">
        <x:v>Planned</x:v>
      </x:c>
    </x:row>
    <x:row r="1091" ht="32" customHeight="1">
      <x:c r="A1091" s="17" t="str">
        <x:v>F1084</x:v>
      </x:c>
      <x:c r="B1091" s="51" t="n">
        <x:v>15</x:v>
      </x:c>
      <x:c r="C1091" s="17" t="str">
        <x:v>Event detail</x:v>
      </x:c>
      <x:c r="D1091" s="20" t="str">
        <x:v>C15E02 Kip: geometry.prior_sight_attention_seconds</x:v>
      </x:c>
      <x:c r="E1091" s="61" t="n">
        <x:v>1</x:v>
      </x:c>
      <x:c r="F1091" s="20" t="str">
        <x:v>Planned</x:v>
      </x:c>
    </x:row>
    <x:row r="1092" ht="28" customHeight="1">
      <x:c r="A1092" s="2" t="str">
        <x:v>F1085</x:v>
      </x:c>
      <x:c r="B1092" s="50" t="n">
        <x:v>15</x:v>
      </x:c>
      <x:c r="C1092" s="2" t="str">
        <x:v>Event detail</x:v>
      </x:c>
      <x:c r="D1092" s="19" t="str">
        <x:v>C15E02 Kip: geometry.visible_at_start</x:v>
      </x:c>
      <x:c r="E1092" s="58" t="b">
        <x:v>1</x:v>
      </x:c>
      <x:c r="F1092" s="19" t="str">
        <x:v>Planned</x:v>
      </x:c>
    </x:row>
    <x:row r="1093" ht="32" customHeight="1">
      <x:c r="A1093" s="17" t="str">
        <x:v>F1086</x:v>
      </x:c>
      <x:c r="B1093" s="51" t="n">
        <x:v>15</x:v>
      </x:c>
      <x:c r="C1093" s="17" t="str">
        <x:v>Event detail</x:v>
      </x:c>
      <x:c r="D1093" s="20" t="str">
        <x:v>C15E02 Kip: geometry.available_at_start</x:v>
      </x:c>
      <x:c r="E1093" s="59" t="b">
        <x:v>1</x:v>
      </x:c>
      <x:c r="F1093" s="20" t="str">
        <x:v>Planned</x:v>
      </x:c>
    </x:row>
    <x:row r="1094" ht="32" customHeight="1">
      <x:c r="A1094" s="2" t="str">
        <x:v>F1087</x:v>
      </x:c>
      <x:c r="B1094" s="50" t="n">
        <x:v>15</x:v>
      </x:c>
      <x:c r="C1094" s="2" t="str">
        <x:v>Event detail</x:v>
      </x:c>
      <x:c r="D1094" s="19" t="str">
        <x:v>C15E02 Kip: geometry.within_normal_mechanical_arc</x:v>
      </x:c>
      <x:c r="E1094" s="58" t="b">
        <x:v>1</x:v>
      </x:c>
      <x:c r="F1094" s="19" t="str">
        <x:v>Planned</x:v>
      </x:c>
    </x:row>
    <x:row r="1095" ht="28" customHeight="1">
      <x:c r="A1095" s="17" t="str">
        <x:v>F1088</x:v>
      </x:c>
      <x:c r="B1095" s="51" t="n">
        <x:v>15</x:v>
      </x:c>
      <x:c r="C1095" s="17" t="str">
        <x:v>Event detail</x:v>
      </x:c>
      <x:c r="D1095" s="20" t="str">
        <x:v>C15E02 Kip: geometry.ready_at_start</x:v>
      </x:c>
      <x:c r="E1095" s="59" t="b">
        <x:v>1</x:v>
      </x:c>
      <x:c r="F1095" s="20" t="str">
        <x:v>Planned</x:v>
      </x:c>
    </x:row>
    <x:row r="1096" ht="32" customHeight="1">
      <x:c r="A1096" s="2" t="str">
        <x:v>F1089</x:v>
      </x:c>
      <x:c r="B1096" s="50" t="n">
        <x:v>15</x:v>
      </x:c>
      <x:c r="C1096" s="2" t="str">
        <x:v>Event detail</x:v>
      </x:c>
      <x:c r="D1096" s="19" t="str">
        <x:v>C15E02 Kip: geometry.target_is_constructed_fixture</x:v>
      </x:c>
      <x:c r="E1096" s="58" t="b">
        <x:v>1</x:v>
      </x:c>
      <x:c r="F1096" s="19" t="str">
        <x:v>Planned</x:v>
      </x:c>
    </x:row>
    <x:row r="1097" ht="32" customHeight="1">
      <x:c r="A1097" s="17" t="str">
        <x:v>F1090</x:v>
      </x:c>
      <x:c r="B1097" s="51" t="n">
        <x:v>15</x:v>
      </x:c>
      <x:c r="C1097" s="17" t="str">
        <x:v>Event detail</x:v>
      </x:c>
      <x:c r="D1097" s="20" t="str">
        <x:v>C15E02 Kip: geometry.shield_removed_physically_if_any</x:v>
      </x:c>
      <x:c r="E1097" s="59" t="b">
        <x:v>1</x:v>
      </x:c>
      <x:c r="F1097" s="20" t="str">
        <x:v>Planned</x:v>
      </x:c>
    </x:row>
    <x:row r="1098" ht="28" customHeight="1">
      <x:c r="A1098" s="2" t="str">
        <x:v>F1091</x:v>
      </x:c>
      <x:c r="B1098" s="50" t="n">
        <x:v>15</x:v>
      </x:c>
      <x:c r="C1098" s="2" t="str">
        <x:v>Event detail</x:v>
      </x:c>
      <x:c r="D1098" s="19" t="str">
        <x:v>C15E02 Kip: outcome</x:v>
      </x:c>
      <x:c r="E1098" s="19" t="str">
        <x:v>paid control interrupted by loss of sight after1second</x:v>
      </x:c>
      <x:c r="F1098" s="19" t="str">
        <x:v>Planned</x:v>
      </x:c>
    </x:row>
    <x:row r="1099" ht="28" customHeight="1">
      <x:c r="A1099" s="17" t="str">
        <x:v>F1092</x:v>
      </x:c>
      <x:c r="B1099" s="51" t="n">
        <x:v>15</x:v>
      </x:c>
      <x:c r="C1099" s="17" t="str">
        <x:v>Event detail</x:v>
      </x:c>
      <x:c r="D1099" s="20" t="str">
        <x:v>C15E03 Dane: target</x:v>
      </x:c>
      <x:c r="E1099" s="20" t="str">
        <x:v>Kip within8m</x:v>
      </x:c>
      <x:c r="F1099" s="20" t="str">
        <x:v>Planned</x:v>
      </x:c>
    </x:row>
    <x:row r="1100" ht="28" customHeight="1">
      <x:c r="A1100" s="2" t="str">
        <x:v>F1093</x:v>
      </x:c>
      <x:c r="B1100" s="50" t="n">
        <x:v>15</x:v>
      </x:c>
      <x:c r="C1100" s="2" t="str">
        <x:v>Event detail</x:v>
      </x:c>
      <x:c r="D1100" s="19" t="str">
        <x:v>C15E03 Dane: geometry.path_length_m</x:v>
      </x:c>
      <x:c r="E1100" s="60" t="n">
        <x:v>6</x:v>
      </x:c>
      <x:c r="F1100" s="19" t="str">
        <x:v>Planned</x:v>
      </x:c>
    </x:row>
    <x:row r="1101" ht="28" customHeight="1">
      <x:c r="A1101" s="17" t="str">
        <x:v>F1094</x:v>
      </x:c>
      <x:c r="B1101" s="51" t="n">
        <x:v>15</x:v>
      </x:c>
      <x:c r="C1101" s="17" t="str">
        <x:v>Event detail</x:v>
      </x:c>
      <x:c r="D1101" s="20" t="str">
        <x:v>C15E03 Dane: geometry.visible_ally</x:v>
      </x:c>
      <x:c r="E1101" s="59" t="b">
        <x:v>1</x:v>
      </x:c>
      <x:c r="F1101" s="20" t="str">
        <x:v>Planned</x:v>
      </x:c>
    </x:row>
    <x:row r="1102" ht="32" customHeight="1">
      <x:c r="A1102" s="2" t="str">
        <x:v>F1095</x:v>
      </x:c>
      <x:c r="B1102" s="50" t="n">
        <x:v>15</x:v>
      </x:c>
      <x:c r="C1102" s="2" t="str">
        <x:v>Event detail</x:v>
      </x:c>
      <x:c r="D1102" s="19" t="str">
        <x:v>C15E03 Dane: geometry.clear_physical_path</x:v>
      </x:c>
      <x:c r="E1102" s="58" t="b">
        <x:v>1</x:v>
      </x:c>
      <x:c r="F1102" s="19" t="str">
        <x:v>Planned</x:v>
      </x:c>
    </x:row>
    <x:row r="1103" ht="32" customHeight="1">
      <x:c r="A1103" s="17" t="str">
        <x:v>F1096</x:v>
      </x:c>
      <x:c r="B1103" s="51" t="n">
        <x:v>15</x:v>
      </x:c>
      <x:c r="C1103" s="17" t="str">
        <x:v>Event detail</x:v>
      </x:c>
      <x:c r="D1103" s="20" t="str">
        <x:v>C15E03 Dane: geometry.functional_weapon_in_right_hand</x:v>
      </x:c>
      <x:c r="E1103" s="59" t="b">
        <x:v>1</x:v>
      </x:c>
      <x:c r="F1103" s="20" t="str">
        <x:v>Planned</x:v>
      </x:c>
    </x:row>
    <x:row r="1104" ht="32" customHeight="1">
      <x:c r="A1104" s="2" t="str">
        <x:v>F1097</x:v>
      </x:c>
      <x:c r="B1104" s="50" t="n">
        <x:v>15</x:v>
      </x:c>
      <x:c r="C1104" s="2" t="str">
        <x:v>Event detail</x:v>
      </x:c>
      <x:c r="D1104" s="19" t="str">
        <x:v>C15E03 Dane: geometry.uses_enhanced_block</x:v>
      </x:c>
      <x:c r="E1104" s="58" t="b">
        <x:v>1</x:v>
      </x:c>
      <x:c r="F1104" s="19" t="str">
        <x:v>Planned</x:v>
      </x:c>
    </x:row>
    <x:row r="1105" ht="32" customHeight="1">
      <x:c r="A1105" s="17" t="str">
        <x:v>F1098</x:v>
      </x:c>
      <x:c r="B1105" s="51" t="n">
        <x:v>15</x:v>
      </x:c>
      <x:c r="C1105" s="17" t="str">
        <x:v>Event detail</x:v>
      </x:c>
      <x:c r="D1105" s="20" t="str">
        <x:v>C15E03 Dane: geometry.block_seconds_after_activation</x:v>
      </x:c>
      <x:c r="E1105" s="61" t="n">
        <x:v>1</x:v>
      </x:c>
      <x:c r="F1105" s="20" t="str">
        <x:v>Planned</x:v>
      </x:c>
    </x:row>
    <x:row r="1106" ht="32" customHeight="1">
      <x:c r="A1106" s="2" t="str">
        <x:v>F1099</x:v>
      </x:c>
      <x:c r="B1106" s="50" t="n">
        <x:v>15</x:v>
      </x:c>
      <x:c r="C1106" s="2" t="str">
        <x:v>Event detail</x:v>
      </x:c>
      <x:c r="D1106" s="19" t="str">
        <x:v>C15E03 Dane: geometry.parryable_physical_attack</x:v>
      </x:c>
      <x:c r="E1106" s="58" t="b">
        <x:v>1</x:v>
      </x:c>
      <x:c r="F1106" s="19" t="str">
        <x:v>Planned</x:v>
      </x:c>
    </x:row>
    <x:row r="1107" ht="32" customHeight="1">
      <x:c r="A1107" s="17" t="str">
        <x:v>F1100</x:v>
      </x:c>
      <x:c r="B1107" s="51" t="n">
        <x:v>15</x:v>
      </x:c>
      <x:c r="C1107" s="17" t="str">
        <x:v>Event detail</x:v>
      </x:c>
      <x:c r="D1107" s="20" t="str">
        <x:v>C15E03 Dane: geometry.all_direction_protection_assumed</x:v>
      </x:c>
      <x:c r="E1107" s="59" t="b">
        <x:v>0</x:v>
      </x:c>
      <x:c r="F1107" s="20" t="str">
        <x:v>Planned</x:v>
      </x:c>
    </x:row>
    <x:row r="1108" ht="28" customHeight="1">
      <x:c r="A1108" s="2" t="str">
        <x:v>F1101</x:v>
      </x:c>
      <x:c r="B1108" s="50" t="n">
        <x:v>15</x:v>
      </x:c>
      <x:c r="C1108" s="2" t="str">
        <x:v>Event detail</x:v>
      </x:c>
      <x:c r="D1108" s="19" t="str">
        <x:v>C15E04 Kip: target</x:v>
      </x:c>
      <x:c r="E1108" s="19" t="str">
        <x:v>annex anchor</x:v>
      </x:c>
      <x:c r="F1108" s="19" t="str">
        <x:v>Planned</x:v>
      </x:c>
    </x:row>
    <x:row r="1109" ht="32" customHeight="1">
      <x:c r="A1109" s="17" t="str">
        <x:v>F1102</x:v>
      </x:c>
      <x:c r="B1109" s="51" t="n">
        <x:v>15</x:v>
      </x:c>
      <x:c r="C1109" s="17" t="str">
        <x:v>Event detail</x:v>
      </x:c>
      <x:c r="D1109" s="20" t="str">
        <x:v>C15E04 Kip: note</x:v>
      </x:c>
      <x:c r="E1109" s="20" t="str">
        <x:v>Room genuinely cleared at start; new hostile crosses doorway20sec later. Paid20; interruption no claim, C/D retained until physicaldestructionC.</x:v>
      </x:c>
      <x:c r="F1109" s="20" t="str">
        <x:v>Planned</x:v>
      </x:c>
    </x:row>
    <x:row r="1110" ht="32" customHeight="1">
      <x:c r="A1110" s="2" t="str">
        <x:v>F1103</x:v>
      </x:c>
      <x:c r="B1110" s="50" t="n">
        <x:v>15</x:v>
      </x:c>
      <x:c r="C1110" s="2" t="str">
        <x:v>Event detail</x:v>
      </x:c>
      <x:c r="D1110" s="19" t="str">
        <x:v>C15E04 Kip: geometry.enclosed_room_max_width_m</x:v>
      </x:c>
      <x:c r="E1110" s="60" t="n">
        <x:v>14</x:v>
      </x:c>
      <x:c r="F1110" s="19" t="str">
        <x:v>Planned</x:v>
      </x:c>
    </x:row>
    <x:row r="1111" ht="28" customHeight="1">
      <x:c r="A1111" s="17" t="str">
        <x:v>F1104</x:v>
      </x:c>
      <x:c r="B1111" s="51" t="n">
        <x:v>15</x:v>
      </x:c>
      <x:c r="C1111" s="17" t="str">
        <x:v>Event detail</x:v>
      </x:c>
      <x:c r="D1111" s="20" t="str">
        <x:v>C15E04 Kip: geometry.intact_anchor</x:v>
      </x:c>
      <x:c r="E1111" s="59" t="b">
        <x:v>1</x:v>
      </x:c>
      <x:c r="F1111" s="20" t="str">
        <x:v>Planned</x:v>
      </x:c>
    </x:row>
    <x:row r="1112" ht="32" customHeight="1">
      <x:c r="A1112" s="2" t="str">
        <x:v>F1105</x:v>
      </x:c>
      <x:c r="B1112" s="50" t="n">
        <x:v>15</x:v>
      </x:c>
      <x:c r="C1112" s="2" t="str">
        <x:v>Event detail</x:v>
      </x:c>
      <x:c r="D1112" s="19" t="str">
        <x:v>C15E04 Kip: geometry.guardian_defeated_or_none_assigned</x:v>
      </x:c>
      <x:c r="E1112" s="58" t="b">
        <x:v>1</x:v>
      </x:c>
      <x:c r="F1112" s="19" t="str">
        <x:v>Planned</x:v>
      </x:c>
    </x:row>
    <x:row r="1113" ht="32" customHeight="1">
      <x:c r="A1113" s="17" t="str">
        <x:v>F1106</x:v>
      </x:c>
      <x:c r="B1113" s="51" t="n">
        <x:v>15</x:v>
      </x:c>
      <x:c r="C1113" s="17" t="str">
        <x:v>Event detail</x:v>
      </x:c>
      <x:c r="D1113" s="20" t="str">
        <x:v>C15E04 Kip: geometry.protective_seal_removed_or_absent</x:v>
      </x:c>
      <x:c r="E1113" s="59" t="b">
        <x:v>1</x:v>
      </x:c>
      <x:c r="F1113" s="20" t="str">
        <x:v>Planned</x:v>
      </x:c>
    </x:row>
    <x:row r="1114" ht="32" customHeight="1">
      <x:c r="A1114" s="2" t="str">
        <x:v>F1107</x:v>
      </x:c>
      <x:c r="B1114" s="50" t="n">
        <x:v>15</x:v>
      </x:c>
      <x:c r="C1114" s="2" t="str">
        <x:v>Event detail</x:v>
      </x:c>
      <x:c r="D1114" s="19" t="str">
        <x:v>C15E04 Kip: geometry.living_hostiles_inside_at_start</x:v>
      </x:c>
      <x:c r="E1114" s="60" t="n">
        <x:v>0</x:v>
      </x:c>
      <x:c r="F1114" s="19" t="str">
        <x:v>Planned</x:v>
      </x:c>
    </x:row>
    <x:row r="1115" ht="28" customHeight="1">
      <x:c r="A1115" s="17" t="str">
        <x:v>F1108</x:v>
      </x:c>
      <x:c r="B1115" s="51" t="n">
        <x:v>15</x:v>
      </x:c>
      <x:c r="C1115" s="17" t="str">
        <x:v>Event detail</x:v>
      </x:c>
      <x:c r="D1115" s="20" t="str">
        <x:v>C15E04 Kip: geometry.boss_chamber</x:v>
      </x:c>
      <x:c r="E1115" s="59" t="b">
        <x:v>0</x:v>
      </x:c>
      <x:c r="F1115" s="20" t="str">
        <x:v>Planned</x:v>
      </x:c>
    </x:row>
    <x:row r="1116" ht="28" customHeight="1">
      <x:c r="A1116" s="2" t="str">
        <x:v>F1109</x:v>
      </x:c>
      <x:c r="B1116" s="50" t="n">
        <x:v>15</x:v>
      </x:c>
      <x:c r="C1116" s="2" t="str">
        <x:v>Event detail</x:v>
      </x:c>
      <x:c r="D1116" s="19" t="str">
        <x:v>C15E04 Kip: channel_seconds</x:v>
      </x:c>
      <x:c r="E1116" s="60" t="n">
        <x:v>20</x:v>
      </x:c>
      <x:c r="F1116" s="19" t="str">
        <x:v>Planned</x:v>
      </x:c>
    </x:row>
    <x:row r="1117" ht="28" customHeight="1">
      <x:c r="A1117" s="17" t="str">
        <x:v>F1110</x:v>
      </x:c>
      <x:c r="B1117" s="51" t="n">
        <x:v>15</x:v>
      </x:c>
      <x:c r="C1117" s="17" t="str">
        <x:v>Event detail</x:v>
      </x:c>
      <x:c r="D1117" s="20" t="str">
        <x:v>C15E04 Kip: outcome</x:v>
      </x:c>
      <x:c r="E1117" s="20" t="str">
        <x:v>interrupted by new hostile entering at20seconds; no refund or new ownership</x:v>
      </x:c>
      <x:c r="F1117" s="20" t="str">
        <x:v>Planned</x:v>
      </x:c>
    </x:row>
    <x:row r="1118" ht="28" customHeight="1">
      <x:c r="A1118" s="2" t="str">
        <x:v>F1111</x:v>
      </x:c>
      <x:c r="B1118" s="50" t="n">
        <x:v>15</x:v>
      </x:c>
      <x:c r="C1118" s="2" t="str">
        <x:v>Event detail</x:v>
      </x:c>
      <x:c r="D1118" s="19" t="str">
        <x:v>C15E05 Dane: target</x:v>
      </x:c>
      <x:c r="E1118" s="19" t="str">
        <x:v>withdrawal front</x:v>
      </x:c>
      <x:c r="F1118" s="19" t="str">
        <x:v>Planned</x:v>
      </x:c>
    </x:row>
    <x:row r="1119" ht="28" customHeight="1">
      <x:c r="A1119" s="17" t="str">
        <x:v>F1112</x:v>
      </x:c>
      <x:c r="B1119" s="51" t="n">
        <x:v>15</x:v>
      </x:c>
      <x:c r="C1119" s="17" t="str">
        <x:v>Event detail</x:v>
      </x:c>
      <x:c r="D1119" s="20" t="str">
        <x:v>C15E05 Dane: note</x:v>
      </x:c>
      <x:c r="E1119" s="20" t="str">
        <x:v>Interpose bonus ended long ago.</x:v>
      </x:c>
      <x:c r="F1119" s="20" t="str">
        <x:v>Planned</x:v>
      </x:c>
    </x:row>
    <x:row r="1120" ht="32" customHeight="1">
      <x:c r="A1120" s="2" t="str">
        <x:v>F1113</x:v>
      </x:c>
      <x:c r="B1120" s="50" t="n">
        <x:v>15</x:v>
      </x:c>
      <x:c r="C1120" s="2" t="str">
        <x:v>Event detail</x:v>
      </x:c>
      <x:c r="D1120" s="19" t="str">
        <x:v>C15E05 Dane: geometry.weapon_raised_in_right_hand</x:v>
      </x:c>
      <x:c r="E1120" s="58" t="b">
        <x:v>1</x:v>
      </x:c>
      <x:c r="F1120" s="19" t="str">
        <x:v>Planned</x:v>
      </x:c>
    </x:row>
    <x:row r="1121" ht="28" customHeight="1">
      <x:c r="A1121" s="17" t="str">
        <x:v>F1114</x:v>
      </x:c>
      <x:c r="B1121" s="51" t="n">
        <x:v>15</x:v>
      </x:c>
      <x:c r="C1121" s="17" t="str">
        <x:v>Event detail</x:v>
      </x:c>
      <x:c r="D1121" s="20" t="str">
        <x:v>C15E05 Dane: geometry.effect_seconds</x:v>
      </x:c>
      <x:c r="E1121" s="61" t="n">
        <x:v>8</x:v>
      </x:c>
      <x:c r="F1121" s="20" t="str">
        <x:v>Planned</x:v>
      </x:c>
    </x:row>
    <x:row r="1122" ht="32" customHeight="1">
      <x:c r="A1122" s="2" t="str">
        <x:v>F1115</x:v>
      </x:c>
      <x:c r="B1122" s="50" t="n">
        <x:v>15</x:v>
      </x:c>
      <x:c r="C1122" s="2" t="str">
        <x:v>Event detail</x:v>
      </x:c>
      <x:c r="D1122" s="19" t="str">
        <x:v>C15E05 Dane: geometry.physical_attack_crosses_front</x:v>
      </x:c>
      <x:c r="E1122" s="58" t="b">
        <x:v>1</x:v>
      </x:c>
      <x:c r="F1122" s="19" t="str">
        <x:v>Planned</x:v>
      </x:c>
    </x:row>
    <x:row r="1123" ht="32" customHeight="1">
      <x:c r="A1123" s="17" t="str">
        <x:v>F1116</x:v>
      </x:c>
      <x:c r="B1123" s="51" t="n">
        <x:v>15</x:v>
      </x:c>
      <x:c r="C1123" s="17" t="str">
        <x:v>Event detail</x:v>
      </x:c>
      <x:c r="D1123" s="20" t="str">
        <x:v>C15E05 Dane: geometry.runs_or_attacks_during_effect</x:v>
      </x:c>
      <x:c r="E1123" s="59" t="b">
        <x:v>0</x:v>
      </x:c>
      <x:c r="F1123" s="20" t="str">
        <x:v>Planned</x:v>
      </x:c>
    </x:row>
    <x:row r="1124" ht="32" customHeight="1">
      <x:c r="A1124" s="2" t="str">
        <x:v>F1117</x:v>
      </x:c>
      <x:c r="B1124" s="50" t="n">
        <x:v>15</x:v>
      </x:c>
      <x:c r="C1124" s="2" t="str">
        <x:v>Event detail</x:v>
      </x:c>
      <x:c r="D1124" s="19" t="str">
        <x:v>C15E05 Dane: geometry.blocks_heat_poison_or_suffocation</x:v>
      </x:c>
      <x:c r="E1124" s="58" t="b">
        <x:v>0</x:v>
      </x:c>
      <x:c r="F1124" s="19" t="str">
        <x:v>Planned</x:v>
      </x:c>
    </x:row>
    <x:row r="1125" ht="32" customHeight="1">
      <x:c r="A1125" s="17" t="str">
        <x:v>F1118</x:v>
      </x:c>
      <x:c r="B1125" s="51" t="n">
        <x:v>15</x:v>
      </x:c>
      <x:c r="C1125" s="17" t="str">
        <x:v>Event detail</x:v>
      </x:c>
      <x:c r="D1125" s="20" t="str">
        <x:v>C15E05 Dane: geometry.reduced_force_still_can_hurt</x:v>
      </x:c>
      <x:c r="E1125" s="59" t="b">
        <x:v>1</x:v>
      </x:c>
      <x:c r="F1125" s="20" t="str">
        <x:v>Planned</x:v>
      </x:c>
    </x:row>
    <x:row r="1126" ht="28" customHeight="1">
      <x:c r="A1126" s="2" t="str">
        <x:v>F1119</x:v>
      </x:c>
      <x:c r="B1126" s="50" t="n">
        <x:v>15</x:v>
      </x:c>
      <x:c r="C1126" s="2" t="str">
        <x:v>Event detail</x:v>
      </x:c>
      <x:c r="D1126" s="19" t="str">
        <x:v>C15E06 Kip: target</x:v>
      </x:c>
      <x:c r="E1126" s="19" t="str">
        <x:v>physical strike retreat lane</x:v>
      </x:c>
      <x:c r="F1126" s="19" t="str">
        <x:v>Planned</x:v>
      </x:c>
    </x:row>
    <x:row r="1127" ht="28" customHeight="1">
      <x:c r="A1127" s="17" t="str">
        <x:v>F1120</x:v>
      </x:c>
      <x:c r="B1127" s="51" t="n">
        <x:v>15</x:v>
      </x:c>
      <x:c r="C1127" s="17" t="str">
        <x:v>Event detail</x:v>
      </x:c>
      <x:c r="D1127" s="20" t="str">
        <x:v>C15E06 Kip: setup_seconds</x:v>
      </x:c>
      <x:c r="E1127" s="61" t="n">
        <x:v>2</x:v>
      </x:c>
      <x:c r="F1127" s="20" t="str">
        <x:v>Planned</x:v>
      </x:c>
    </x:row>
    <x:row r="1128" ht="32" customHeight="1">
      <x:c r="A1128" s="2" t="str">
        <x:v>F1121</x:v>
      </x:c>
      <x:c r="B1128" s="50" t="n">
        <x:v>15</x:v>
      </x:c>
      <x:c r="C1128" s="2" t="str">
        <x:v>Event detail</x:v>
      </x:c>
      <x:c r="D1128" s="19" t="str">
        <x:v>C15E06 Kip: physical_impact_seconds_after_start</x:v>
      </x:c>
      <x:c r="E1128" s="60" t="n">
        <x:v>8</x:v>
      </x:c>
      <x:c r="F1128" s="19" t="str">
        <x:v>Planned</x:v>
      </x:c>
    </x:row>
    <x:row r="1129" ht="28" customHeight="1">
      <x:c r="A1129" s="17" t="str">
        <x:v>F1122</x:v>
      </x:c>
      <x:c r="B1129" s="51" t="n">
        <x:v>15</x:v>
      </x:c>
      <x:c r="C1129" s="17" t="str">
        <x:v>Event detail</x:v>
      </x:c>
      <x:c r="D1129" s="20" t="str">
        <x:v>C15E06 Kip: geometry.clear_ground</x:v>
      </x:c>
      <x:c r="E1129" s="59" t="b">
        <x:v>1</x:v>
      </x:c>
      <x:c r="F1129" s="20" t="str">
        <x:v>Planned</x:v>
      </x:c>
    </x:row>
    <x:row r="1130" ht="28" customHeight="1">
      <x:c r="A1130" s="2" t="str">
        <x:v>F1123</x:v>
      </x:c>
      <x:c r="B1130" s="50" t="n">
        <x:v>15</x:v>
      </x:c>
      <x:c r="C1130" s="2" t="str">
        <x:v>Event detail</x:v>
      </x:c>
      <x:c r="D1130" s="19" t="str">
        <x:v>C15E06 Kip: geometry.within_3m</x:v>
      </x:c>
      <x:c r="E1130" s="58" t="b">
        <x:v>1</x:v>
      </x:c>
      <x:c r="F1130" s="19" t="str">
        <x:v>Planned</x:v>
      </x:c>
    </x:row>
    <x:row r="1131" ht="28" customHeight="1">
      <x:c r="A1131" s="17" t="str">
        <x:v>F1124</x:v>
      </x:c>
      <x:c r="B1131" s="51" t="n">
        <x:v>15</x:v>
      </x:c>
      <x:c r="C1131" s="17" t="str">
        <x:v>Event detail</x:v>
      </x:c>
      <x:c r="D1131" s="20" t="str">
        <x:v>C15E06 Kip: geometry.upright_2m_square</x:v>
      </x:c>
      <x:c r="E1131" s="59" t="b">
        <x:v>1</x:v>
      </x:c>
      <x:c r="F1131" s="20" t="str">
        <x:v>Planned</x:v>
      </x:c>
    </x:row>
    <x:row r="1132" ht="28" customHeight="1">
      <x:c r="A1132" s="2" t="str">
        <x:v>F1125</x:v>
      </x:c>
      <x:c r="B1132" s="50" t="n">
        <x:v>15</x:v>
      </x:c>
      <x:c r="C1132" s="2" t="str">
        <x:v>Event detail</x:v>
      </x:c>
      <x:c r="D1132" s="19" t="str">
        <x:v>C15E06 Kip: geometry.stationary</x:v>
      </x:c>
      <x:c r="E1132" s="58" t="b">
        <x:v>1</x:v>
      </x:c>
      <x:c r="F1132" s="19" t="str">
        <x:v>Planned</x:v>
      </x:c>
    </x:row>
    <x:row r="1133" ht="32" customHeight="1">
      <x:c r="A1133" s="17" t="str">
        <x:v>F1126</x:v>
      </x:c>
      <x:c r="B1133" s="51" t="n">
        <x:v>15</x:v>
      </x:c>
      <x:c r="C1133" s="17" t="str">
        <x:v>Event detail</x:v>
      </x:c>
      <x:c r="D1133" s="20" t="str">
        <x:v>C15E06 Kip: geometry.physical_impact_crosses_front</x:v>
      </x:c>
      <x:c r="E1133" s="59" t="b">
        <x:v>1</x:v>
      </x:c>
      <x:c r="F1133" s="20" t="str">
        <x:v>Planned</x:v>
      </x:c>
    </x:row>
    <x:row r="1134" ht="32" customHeight="1">
      <x:c r="A1134" s="2" t="str">
        <x:v>F1127</x:v>
      </x:c>
      <x:c r="B1134" s="50" t="n">
        <x:v>15</x:v>
      </x:c>
      <x:c r="C1134" s="2" t="str">
        <x:v>Event detail</x:v>
      </x:c>
      <x:c r="D1134" s="19" t="str">
        <x:v>C15E06 Kip: geometry.blocks_heat_or_water</x:v>
      </x:c>
      <x:c r="E1134" s="58" t="b">
        <x:v>0</x:v>
      </x:c>
      <x:c r="F1134" s="19" t="str">
        <x:v>Planned</x:v>
      </x:c>
    </x:row>
    <x:row r="1135" ht="28" customHeight="1">
      <x:c r="A1135" s="17" t="str">
        <x:v>F1128</x:v>
      </x:c>
      <x:c r="B1135" s="51" t="n">
        <x:v>15</x:v>
      </x:c>
      <x:c r="C1135" s="17" t="str">
        <x:v>Event detail</x:v>
      </x:c>
      <x:c r="D1135" s="20" t="str">
        <x:v>C15E07 Owen: target</x:v>
      </x:c>
      <x:c r="E1135" s="20" t="str">
        <x:v>Kip new 10cm/0.5cm flank cut</x:v>
      </x:c>
      <x:c r="F1135" s="20" t="str">
        <x:v>Planned</x:v>
      </x:c>
    </x:row>
    <x:row r="1136" ht="28" customHeight="1">
      <x:c r="A1136" s="2" t="str">
        <x:v>F1129</x:v>
      </x:c>
      <x:c r="B1136" s="50" t="n">
        <x:v>15</x:v>
      </x:c>
      <x:c r="C1136" s="2" t="str">
        <x:v>Event detail</x:v>
      </x:c>
      <x:c r="D1136" s="19" t="str">
        <x:v>C15E07 Owen: geometry.wound_length_cm</x:v>
      </x:c>
      <x:c r="E1136" s="60" t="n">
        <x:v>10</x:v>
      </x:c>
      <x:c r="F1136" s="19" t="str">
        <x:v>Planned</x:v>
      </x:c>
    </x:row>
    <x:row r="1137" ht="28" customHeight="1">
      <x:c r="A1137" s="17" t="str">
        <x:v>F1130</x:v>
      </x:c>
      <x:c r="B1137" s="51" t="n">
        <x:v>15</x:v>
      </x:c>
      <x:c r="C1137" s="17" t="str">
        <x:v>Event detail</x:v>
      </x:c>
      <x:c r="D1137" s="20" t="str">
        <x:v>C15E07 Owen: geometry.wound_depth_cm</x:v>
      </x:c>
      <x:c r="E1137" s="62" t="n">
        <x:v>0.5</x:v>
      </x:c>
      <x:c r="F1137" s="20" t="str">
        <x:v>Planned</x:v>
      </x:c>
    </x:row>
    <x:row r="1138" ht="28" customHeight="1">
      <x:c r="A1138" s="2" t="str">
        <x:v>F1131</x:v>
      </x:c>
      <x:c r="B1138" s="50" t="n">
        <x:v>15</x:v>
      </x:c>
      <x:c r="C1138" s="2" t="str">
        <x:v>Event detail</x:v>
      </x:c>
      <x:c r="D1138" s="19" t="str">
        <x:v>C15E07 Owen: geometry.external_wound</x:v>
      </x:c>
      <x:c r="E1138" s="58" t="b">
        <x:v>1</x:v>
      </x:c>
      <x:c r="F1138" s="19" t="str">
        <x:v>Planned</x:v>
      </x:c>
    </x:row>
    <x:row r="1139" ht="32" customHeight="1">
      <x:c r="A1139" s="17" t="str">
        <x:v>F1132</x:v>
      </x:c>
      <x:c r="B1139" s="51" t="n">
        <x:v>15</x:v>
      </x:c>
      <x:c r="C1139" s="17" t="str">
        <x:v>Event detail</x:v>
      </x:c>
      <x:c r="D1139" s="20" t="str">
        <x:v>C15E07 Owen: geometry.tissue_present_and_aligned</x:v>
      </x:c>
      <x:c r="E1139" s="59" t="b">
        <x:v>1</x:v>
      </x:c>
      <x:c r="F1139" s="20" t="str">
        <x:v>Planned</x:v>
      </x:c>
    </x:row>
    <x:row r="1140" ht="32" customHeight="1">
      <x:c r="A1140" s="2" t="str">
        <x:v>F1133</x:v>
      </x:c>
      <x:c r="B1140" s="50" t="n">
        <x:v>15</x:v>
      </x:c>
      <x:c r="C1140" s="2" t="str">
        <x:v>Event detail</x:v>
      </x:c>
      <x:c r="D1140" s="19" t="str">
        <x:v>C15E07 Owen: geometry.uninterrupted_touch_seconds</x:v>
      </x:c>
      <x:c r="E1140" s="60" t="n">
        <x:v>20</x:v>
      </x:c>
      <x:c r="F1140" s="19" t="str">
        <x:v>Planned</x:v>
      </x:c>
    </x:row>
    <x:row r="1141" ht="32" customHeight="1">
      <x:c r="A1141" s="17" t="str">
        <x:v>F1134</x:v>
      </x:c>
      <x:c r="B1141" s="51" t="n">
        <x:v>15</x:v>
      </x:c>
      <x:c r="C1141" s="17" t="str">
        <x:v>Event detail</x:v>
      </x:c>
      <x:c r="D1141" s="20" t="str">
        <x:v>C15E07 Owen: geometry.repairs_bone_blood_organs_or_nerves</x:v>
      </x:c>
      <x:c r="E1141" s="59" t="b">
        <x:v>0</x:v>
      </x:c>
      <x:c r="F1141" s="20" t="str">
        <x:v>Planned</x:v>
      </x:c>
    </x:row>
    <x:row r="1142" ht="32" customHeight="1">
      <x:c r="A1142" s="2" t="str">
        <x:v>F1135</x:v>
      </x:c>
      <x:c r="B1142" s="50" t="n">
        <x:v>15</x:v>
      </x:c>
      <x:c r="C1142" s="2" t="str">
        <x:v>Event detail</x:v>
      </x:c>
      <x:c r="D1142" s="19" t="str">
        <x:v>C15E07 Owen: geometry.protected_position_for_channel_required_in_prose</x:v>
      </x:c>
      <x:c r="E1142" s="58" t="b">
        <x:v>1</x:v>
      </x:c>
      <x:c r="F1142" s="19" t="str">
        <x:v>Planned</x:v>
      </x:c>
    </x:row>
    <x:row r="1143" ht="28" customHeight="1">
      <x:c r="A1143" s="17" t="str">
        <x:v>F1136</x:v>
      </x:c>
      <x:c r="B1143" s="51" t="n">
        <x:v>16</x:v>
      </x:c>
      <x:c r="C1143" s="17" t="str">
        <x:v>Event detail</x:v>
      </x:c>
      <x:c r="D1143" s="20" t="str">
        <x:v>C16E01 Kip: note</x:v>
      </x:c>
      <x:c r="E1143" s="20" t="str">
        <x:v>Protected, seated, no casting/movement/attack; another awake person keeps watch.</x:v>
      </x:c>
      <x:c r="F1143" s="20" t="str">
        <x:v>Planned</x:v>
      </x:c>
    </x:row>
    <x:row r="1144" ht="28" customHeight="1">
      <x:c r="A1144" s="2" t="str">
        <x:v>F1137</x:v>
      </x:c>
      <x:c r="B1144" s="50" t="n">
        <x:v>16</x:v>
      </x:c>
      <x:c r="C1144" s="2" t="str">
        <x:v>Event detail</x:v>
      </x:c>
      <x:c r="D1144" s="19" t="str">
        <x:v>C16E01 Kip: ends</x:v>
      </x:c>
      <x:c r="E1144" s="19" t="str">
        <x:v>Day 3 11:09:00</x:v>
      </x:c>
      <x:c r="F1144" s="19" t="str">
        <x:v>Planned</x:v>
      </x:c>
    </x:row>
    <x:row r="1145" ht="28" customHeight="1">
      <x:c r="A1145" s="17" t="str">
        <x:v>F1138</x:v>
      </x:c>
      <x:c r="B1145" s="51" t="n">
        <x:v>16</x:v>
      </x:c>
      <x:c r="C1145" s="17" t="str">
        <x:v>Event detail</x:v>
      </x:c>
      <x:c r="D1145" s="20" t="str">
        <x:v>C16E02 Tessa: note</x:v>
      </x:c>
      <x:c r="E1145" s="20" t="str">
        <x:v>Protected, seated, no casting/movement/attack; another awake person keeps watch.</x:v>
      </x:c>
      <x:c r="F1145" s="20" t="str">
        <x:v>Planned</x:v>
      </x:c>
    </x:row>
    <x:row r="1146" ht="28" customHeight="1">
      <x:c r="A1146" s="2" t="str">
        <x:v>F1139</x:v>
      </x:c>
      <x:c r="B1146" s="50" t="n">
        <x:v>16</x:v>
      </x:c>
      <x:c r="C1146" s="2" t="str">
        <x:v>Event detail</x:v>
      </x:c>
      <x:c r="D1146" s="19" t="str">
        <x:v>C16E02 Tessa: ends</x:v>
      </x:c>
      <x:c r="E1146" s="19" t="str">
        <x:v>Day 3 11:02:00</x:v>
      </x:c>
      <x:c r="F1146" s="19" t="str">
        <x:v>Planned</x:v>
      </x:c>
    </x:row>
    <x:row r="1147" ht="28" customHeight="1">
      <x:c r="A1147" s="17" t="str">
        <x:v>F1140</x:v>
      </x:c>
      <x:c r="B1147" s="51" t="n">
        <x:v>16</x:v>
      </x:c>
      <x:c r="C1147" s="17" t="str">
        <x:v>Event detail</x:v>
      </x:c>
      <x:c r="D1147" s="20" t="str">
        <x:v>C16E03 Owen: note</x:v>
      </x:c>
      <x:c r="E1147" s="20" t="str">
        <x:v>Protected, seated, no casting/movement/attack; another awake person keeps watch.</x:v>
      </x:c>
      <x:c r="F1147" s="20" t="str">
        <x:v>Planned</x:v>
      </x:c>
    </x:row>
    <x:row r="1148" ht="28" customHeight="1">
      <x:c r="A1148" s="2" t="str">
        <x:v>F1141</x:v>
      </x:c>
      <x:c r="B1148" s="50" t="n">
        <x:v>16</x:v>
      </x:c>
      <x:c r="C1148" s="2" t="str">
        <x:v>Event detail</x:v>
      </x:c>
      <x:c r="D1148" s="19" t="str">
        <x:v>C16E03 Owen: ends</x:v>
      </x:c>
      <x:c r="E1148" s="19" t="str">
        <x:v>Day 3 11:04:00</x:v>
      </x:c>
      <x:c r="F1148" s="19" t="str">
        <x:v>Planned</x:v>
      </x:c>
    </x:row>
    <x:row r="1149" ht="28" customHeight="1">
      <x:c r="A1149" s="17" t="str">
        <x:v>F1142</x:v>
      </x:c>
      <x:c r="B1149" s="51" t="n">
        <x:v>16</x:v>
      </x:c>
      <x:c r="C1149" s="17" t="str">
        <x:v>Event detail</x:v>
      </x:c>
      <x:c r="D1149" s="20" t="str">
        <x:v>C16E04 Dane: note</x:v>
      </x:c>
      <x:c r="E1149" s="20" t="str">
        <x:v>Protected, seated, no casting/movement/attack; another awake person keeps watch.</x:v>
      </x:c>
      <x:c r="F1149" s="20" t="str">
        <x:v>Planned</x:v>
      </x:c>
    </x:row>
    <x:row r="1150" ht="28" customHeight="1">
      <x:c r="A1150" s="2" t="str">
        <x:v>F1143</x:v>
      </x:c>
      <x:c r="B1150" s="50" t="n">
        <x:v>16</x:v>
      </x:c>
      <x:c r="C1150" s="2" t="str">
        <x:v>Event detail</x:v>
      </x:c>
      <x:c r="D1150" s="19" t="str">
        <x:v>C16E04 Dane: ends</x:v>
      </x:c>
      <x:c r="E1150" s="19" t="str">
        <x:v>Day 3 11:07:00</x:v>
      </x:c>
      <x:c r="F1150" s="19" t="str">
        <x:v>Planned</x:v>
      </x:c>
    </x:row>
    <x:row r="1151" ht="28" customHeight="1">
      <x:c r="A1151" s="17" t="str">
        <x:v>F1144</x:v>
      </x:c>
      <x:c r="B1151" s="51" t="n">
        <x:v>16</x:v>
      </x:c>
      <x:c r="C1151" s="17" t="str">
        <x:v>Event detail</x:v>
      </x:c>
      <x:c r="D1151" s="20" t="str">
        <x:v>C16E05 Kip: target</x:v>
      </x:c>
      <x:c r="E1151" s="20" t="str">
        <x:v>safe practice lane four</x:v>
      </x:c>
      <x:c r="F1151" s="20" t="str">
        <x:v>Planned</x:v>
      </x:c>
    </x:row>
    <x:row r="1152" ht="28" customHeight="1">
      <x:c r="A1152" s="2" t="str">
        <x:v>F1145</x:v>
      </x:c>
      <x:c r="B1152" s="50" t="n">
        <x:v>16</x:v>
      </x:c>
      <x:c r="C1152" s="2" t="str">
        <x:v>Event detail</x:v>
      </x:c>
      <x:c r="D1152" s="19" t="str">
        <x:v>C16E05 Kip: setup_seconds</x:v>
      </x:c>
      <x:c r="E1152" s="60" t="n">
        <x:v>2</x:v>
      </x:c>
      <x:c r="F1152" s="19" t="str">
        <x:v>Planned</x:v>
      </x:c>
    </x:row>
    <x:row r="1153" ht="32" customHeight="1">
      <x:c r="A1153" s="17" t="str">
        <x:v>F1146</x:v>
      </x:c>
      <x:c r="B1153" s="51" t="n">
        <x:v>16</x:v>
      </x:c>
      <x:c r="C1153" s="17" t="str">
        <x:v>Event detail</x:v>
      </x:c>
      <x:c r="D1153" s="20" t="str">
        <x:v>C16E05 Kip: physical_impact_seconds_after_start</x:v>
      </x:c>
      <x:c r="E1153" s="61" t="n">
        <x:v>8</x:v>
      </x:c>
      <x:c r="F1153" s="20" t="str">
        <x:v>Planned</x:v>
      </x:c>
    </x:row>
    <x:row r="1154" ht="28" customHeight="1">
      <x:c r="A1154" s="2" t="str">
        <x:v>F1147</x:v>
      </x:c>
      <x:c r="B1154" s="50" t="n">
        <x:v>16</x:v>
      </x:c>
      <x:c r="C1154" s="2" t="str">
        <x:v>Event detail</x:v>
      </x:c>
      <x:c r="D1154" s="19" t="str">
        <x:v>C16E05 Kip: geometry.clear_ground</x:v>
      </x:c>
      <x:c r="E1154" s="58" t="b">
        <x:v>1</x:v>
      </x:c>
      <x:c r="F1154" s="19" t="str">
        <x:v>Planned</x:v>
      </x:c>
    </x:row>
    <x:row r="1155" ht="28" customHeight="1">
      <x:c r="A1155" s="17" t="str">
        <x:v>F1148</x:v>
      </x:c>
      <x:c r="B1155" s="51" t="n">
        <x:v>16</x:v>
      </x:c>
      <x:c r="C1155" s="17" t="str">
        <x:v>Event detail</x:v>
      </x:c>
      <x:c r="D1155" s="20" t="str">
        <x:v>C16E05 Kip: geometry.within_3m</x:v>
      </x:c>
      <x:c r="E1155" s="59" t="b">
        <x:v>1</x:v>
      </x:c>
      <x:c r="F1155" s="20" t="str">
        <x:v>Planned</x:v>
      </x:c>
    </x:row>
    <x:row r="1156" ht="28" customHeight="1">
      <x:c r="A1156" s="2" t="str">
        <x:v>F1149</x:v>
      </x:c>
      <x:c r="B1156" s="50" t="n">
        <x:v>16</x:v>
      </x:c>
      <x:c r="C1156" s="2" t="str">
        <x:v>Event detail</x:v>
      </x:c>
      <x:c r="D1156" s="19" t="str">
        <x:v>C16E05 Kip: geometry.upright_2m_square</x:v>
      </x:c>
      <x:c r="E1156" s="58" t="b">
        <x:v>1</x:v>
      </x:c>
      <x:c r="F1156" s="19" t="str">
        <x:v>Planned</x:v>
      </x:c>
    </x:row>
    <x:row r="1157" ht="28" customHeight="1">
      <x:c r="A1157" s="17" t="str">
        <x:v>F1150</x:v>
      </x:c>
      <x:c r="B1157" s="51" t="n">
        <x:v>16</x:v>
      </x:c>
      <x:c r="C1157" s="17" t="str">
        <x:v>Event detail</x:v>
      </x:c>
      <x:c r="D1157" s="20" t="str">
        <x:v>C16E05 Kip: geometry.stationary</x:v>
      </x:c>
      <x:c r="E1157" s="59" t="b">
        <x:v>1</x:v>
      </x:c>
      <x:c r="F1157" s="20" t="str">
        <x:v>Planned</x:v>
      </x:c>
    </x:row>
    <x:row r="1158" ht="32" customHeight="1">
      <x:c r="A1158" s="2" t="str">
        <x:v>F1151</x:v>
      </x:c>
      <x:c r="B1158" s="50" t="n">
        <x:v>16</x:v>
      </x:c>
      <x:c r="C1158" s="2" t="str">
        <x:v>Event detail</x:v>
      </x:c>
      <x:c r="D1158" s="19" t="str">
        <x:v>C16E05 Kip: geometry.physical_impact_crosses_front</x:v>
      </x:c>
      <x:c r="E1158" s="58" t="b">
        <x:v>1</x:v>
      </x:c>
      <x:c r="F1158" s="19" t="str">
        <x:v>Planned</x:v>
      </x:c>
    </x:row>
    <x:row r="1159" ht="32" customHeight="1">
      <x:c r="A1159" s="17" t="str">
        <x:v>F1152</x:v>
      </x:c>
      <x:c r="B1159" s="51" t="n">
        <x:v>16</x:v>
      </x:c>
      <x:c r="C1159" s="17" t="str">
        <x:v>Event detail</x:v>
      </x:c>
      <x:c r="D1159" s="20" t="str">
        <x:v>C16E05 Kip: geometry.blocks_heat_or_water</x:v>
      </x:c>
      <x:c r="E1159" s="59" t="b">
        <x:v>0</x:v>
      </x:c>
      <x:c r="F1159" s="20" t="str">
        <x:v>Planned</x:v>
      </x:c>
    </x:row>
    <x:row r="1160" ht="28" customHeight="1">
      <x:c r="A1160" s="2" t="str">
        <x:v>F1153</x:v>
      </x:c>
      <x:c r="B1160" s="50" t="n">
        <x:v>16</x:v>
      </x:c>
      <x:c r="C1160" s="2" t="str">
        <x:v>Event detail</x:v>
      </x:c>
      <x:c r="D1160" s="19" t="str">
        <x:v>C16E06 Kip: note</x:v>
      </x:c>
      <x:c r="E1160" s="19" t="str">
        <x:v>Quiet recovery excluded from the thirty focused Ward minutes.</x:v>
      </x:c>
      <x:c r="F1160" s="19" t="str">
        <x:v>Planned</x:v>
      </x:c>
    </x:row>
    <x:row r="1161" ht="28" customHeight="1">
      <x:c r="A1161" s="17" t="str">
        <x:v>F1154</x:v>
      </x:c>
      <x:c r="B1161" s="51" t="n">
        <x:v>16</x:v>
      </x:c>
      <x:c r="C1161" s="17" t="str">
        <x:v>Event detail</x:v>
      </x:c>
      <x:c r="D1161" s="20" t="str">
        <x:v>C16E06 Kip: ends</x:v>
      </x:c>
      <x:c r="E1161" s="20" t="str">
        <x:v>Day 3 11:58:00</x:v>
      </x:c>
      <x:c r="F1161" s="20" t="str">
        <x:v>Planned</x:v>
      </x:c>
    </x:row>
    <x:row r="1162" ht="28" customHeight="1">
      <x:c r="A1162" s="2" t="str">
        <x:v>F1155</x:v>
      </x:c>
      <x:c r="B1162" s="50" t="n">
        <x:v>17</x:v>
      </x:c>
      <x:c r="C1162" s="2" t="str">
        <x:v>Event detail</x:v>
      </x:c>
      <x:c r="D1162" s="19" t="str">
        <x:v>C17E01 Kip: target</x:v>
      </x:c>
      <x:c r="E1162" s="19" t="str">
        <x:v>drainage defense lane</x:v>
      </x:c>
      <x:c r="F1162" s="19" t="str">
        <x:v>Planned</x:v>
      </x:c>
    </x:row>
    <x:row r="1163" ht="32" customHeight="1">
      <x:c r="A1163" s="17" t="str">
        <x:v>F1156</x:v>
      </x:c>
      <x:c r="B1163" s="51" t="n">
        <x:v>17</x:v>
      </x:c>
      <x:c r="C1163" s="17" t="str">
        <x:v>Event detail</x:v>
      </x:c>
      <x:c r="D1163" s="20" t="str">
        <x:v>C17E01 Kip: note</x:v>
      </x:c>
      <x:c r="E1163" s="20" t="str">
        <x:v>Rank1forms20:02; feint20:03; real physicalhit20:08 inside10s lifetime. Correct stationary facing retained; then Rank2earned.</x:v>
      </x:c>
      <x:c r="F1163" s="20" t="str">
        <x:v>Planned</x:v>
      </x:c>
    </x:row>
    <x:row r="1164" ht="28" customHeight="1">
      <x:c r="A1164" s="2" t="str">
        <x:v>F1157</x:v>
      </x:c>
      <x:c r="B1164" s="50" t="n">
        <x:v>17</x:v>
      </x:c>
      <x:c r="C1164" s="2" t="str">
        <x:v>Event detail</x:v>
      </x:c>
      <x:c r="D1164" s="19" t="str">
        <x:v>C17E01 Kip: setup_seconds</x:v>
      </x:c>
      <x:c r="E1164" s="60" t="n">
        <x:v>2</x:v>
      </x:c>
      <x:c r="F1164" s="19" t="str">
        <x:v>Planned</x:v>
      </x:c>
    </x:row>
    <x:row r="1165" ht="32" customHeight="1">
      <x:c r="A1165" s="17" t="str">
        <x:v>F1158</x:v>
      </x:c>
      <x:c r="B1165" s="51" t="n">
        <x:v>17</x:v>
      </x:c>
      <x:c r="C1165" s="17" t="str">
        <x:v>Event detail</x:v>
      </x:c>
      <x:c r="D1165" s="20" t="str">
        <x:v>C17E01 Kip: physical_impact_seconds_after_start</x:v>
      </x:c>
      <x:c r="E1165" s="61" t="n">
        <x:v>8</x:v>
      </x:c>
      <x:c r="F1165" s="20" t="str">
        <x:v>Planned</x:v>
      </x:c>
    </x:row>
    <x:row r="1166" ht="28" customHeight="1">
      <x:c r="A1166" s="2" t="str">
        <x:v>F1159</x:v>
      </x:c>
      <x:c r="B1166" s="50" t="n">
        <x:v>17</x:v>
      </x:c>
      <x:c r="C1166" s="2" t="str">
        <x:v>Event detail</x:v>
      </x:c>
      <x:c r="D1166" s="19" t="str">
        <x:v>C17E01 Kip: geometry.clear_ground</x:v>
      </x:c>
      <x:c r="E1166" s="58" t="b">
        <x:v>1</x:v>
      </x:c>
      <x:c r="F1166" s="19" t="str">
        <x:v>Planned</x:v>
      </x:c>
    </x:row>
    <x:row r="1167" ht="28" customHeight="1">
      <x:c r="A1167" s="17" t="str">
        <x:v>F1160</x:v>
      </x:c>
      <x:c r="B1167" s="51" t="n">
        <x:v>17</x:v>
      </x:c>
      <x:c r="C1167" s="17" t="str">
        <x:v>Event detail</x:v>
      </x:c>
      <x:c r="D1167" s="20" t="str">
        <x:v>C17E01 Kip: geometry.within_3m</x:v>
      </x:c>
      <x:c r="E1167" s="59" t="b">
        <x:v>1</x:v>
      </x:c>
      <x:c r="F1167" s="20" t="str">
        <x:v>Planned</x:v>
      </x:c>
    </x:row>
    <x:row r="1168" ht="28" customHeight="1">
      <x:c r="A1168" s="2" t="str">
        <x:v>F1161</x:v>
      </x:c>
      <x:c r="B1168" s="50" t="n">
        <x:v>17</x:v>
      </x:c>
      <x:c r="C1168" s="2" t="str">
        <x:v>Event detail</x:v>
      </x:c>
      <x:c r="D1168" s="19" t="str">
        <x:v>C17E01 Kip: geometry.upright_2m_square</x:v>
      </x:c>
      <x:c r="E1168" s="58" t="b">
        <x:v>1</x:v>
      </x:c>
      <x:c r="F1168" s="19" t="str">
        <x:v>Planned</x:v>
      </x:c>
    </x:row>
    <x:row r="1169" ht="28" customHeight="1">
      <x:c r="A1169" s="17" t="str">
        <x:v>F1162</x:v>
      </x:c>
      <x:c r="B1169" s="51" t="n">
        <x:v>17</x:v>
      </x:c>
      <x:c r="C1169" s="17" t="str">
        <x:v>Event detail</x:v>
      </x:c>
      <x:c r="D1169" s="20" t="str">
        <x:v>C17E01 Kip: geometry.stationary</x:v>
      </x:c>
      <x:c r="E1169" s="59" t="b">
        <x:v>1</x:v>
      </x:c>
      <x:c r="F1169" s="20" t="str">
        <x:v>Planned</x:v>
      </x:c>
    </x:row>
    <x:row r="1170" ht="32" customHeight="1">
      <x:c r="A1170" s="2" t="str">
        <x:v>F1163</x:v>
      </x:c>
      <x:c r="B1170" s="50" t="n">
        <x:v>17</x:v>
      </x:c>
      <x:c r="C1170" s="2" t="str">
        <x:v>Event detail</x:v>
      </x:c>
      <x:c r="D1170" s="19" t="str">
        <x:v>C17E01 Kip: geometry.physical_impact_crosses_front</x:v>
      </x:c>
      <x:c r="E1170" s="58" t="b">
        <x:v>1</x:v>
      </x:c>
      <x:c r="F1170" s="19" t="str">
        <x:v>Planned</x:v>
      </x:c>
    </x:row>
    <x:row r="1171" ht="32" customHeight="1">
      <x:c r="A1171" s="17" t="str">
        <x:v>F1164</x:v>
      </x:c>
      <x:c r="B1171" s="51" t="n">
        <x:v>17</x:v>
      </x:c>
      <x:c r="C1171" s="17" t="str">
        <x:v>Event detail</x:v>
      </x:c>
      <x:c r="D1171" s="20" t="str">
        <x:v>C17E01 Kip: geometry.blocks_heat_or_water</x:v>
      </x:c>
      <x:c r="E1171" s="59" t="b">
        <x:v>0</x:v>
      </x:c>
      <x:c r="F1171" s="20" t="str">
        <x:v>Planned</x:v>
      </x:c>
    </x:row>
    <x:row r="1172" ht="28" customHeight="1">
      <x:c r="A1172" s="2" t="str">
        <x:v>F1165</x:v>
      </x:c>
      <x:c r="B1172" s="50" t="n">
        <x:v>17</x:v>
      </x:c>
      <x:c r="C1172" s="2" t="str">
        <x:v>Event detail</x:v>
      </x:c>
      <x:c r="D1172" s="19" t="str">
        <x:v>C17E02 Tessa: target</x:v>
      </x:c>
      <x:c r="E1172" s="19" t="str">
        <x:v>fresh guardian approach traces</x:v>
      </x:c>
      <x:c r="F1172" s="19" t="str">
        <x:v>Planned</x:v>
      </x:c>
    </x:row>
    <x:row r="1173" ht="32" customHeight="1">
      <x:c r="A1173" s="17" t="str">
        <x:v>F1166</x:v>
      </x:c>
      <x:c r="B1173" s="51" t="n">
        <x:v>17</x:v>
      </x:c>
      <x:c r="C1173" s="17" t="str">
        <x:v>Event detail</x:v>
      </x:c>
      <x:c r="D1173" s="20" t="str">
        <x:v>C17E02 Tessa: geometry.physical_track_inspected</x:v>
      </x:c>
      <x:c r="E1173" s="59" t="b">
        <x:v>1</x:v>
      </x:c>
      <x:c r="F1173" s="20" t="str">
        <x:v>Planned</x:v>
      </x:c>
    </x:row>
    <x:row r="1174" ht="32" customHeight="1">
      <x:c r="A1174" s="2" t="str">
        <x:v>F1167</x:v>
      </x:c>
      <x:c r="B1174" s="50" t="n">
        <x:v>17</x:v>
      </x:c>
      <x:c r="C1174" s="2" t="str">
        <x:v>Event detail</x:v>
      </x:c>
      <x:c r="D1174" s="19" t="str">
        <x:v>C17E02 Tessa: geometry.oldest_trace_minutes</x:v>
      </x:c>
      <x:c r="E1174" s="60" t="n">
        <x:v>60</x:v>
      </x:c>
      <x:c r="F1174" s="19" t="str">
        <x:v>Planned</x:v>
      </x:c>
    </x:row>
    <x:row r="1175" ht="28" customHeight="1">
      <x:c r="A1175" s="17" t="str">
        <x:v>F1168</x:v>
      </x:c>
      <x:c r="B1175" s="51" t="n">
        <x:v>17</x:v>
      </x:c>
      <x:c r="C1175" s="17" t="str">
        <x:v>Event detail</x:v>
      </x:c>
      <x:c r="D1175" s="20" t="str">
        <x:v>C17E02 Tessa: geometry.radius_m</x:v>
      </x:c>
      <x:c r="E1175" s="61" t="n">
        <x:v>25</x:v>
      </x:c>
      <x:c r="F1175" s="20" t="str">
        <x:v>Planned</x:v>
      </x:c>
    </x:row>
    <x:row r="1176" ht="32" customHeight="1">
      <x:c r="A1176" s="2" t="str">
        <x:v>F1169</x:v>
      </x:c>
      <x:c r="B1176" s="50" t="n">
        <x:v>17</x:v>
      </x:c>
      <x:c r="C1176" s="2" t="str">
        <x:v>Event detail</x:v>
      </x:c>
      <x:c r="D1176" s="19" t="str">
        <x:v>C17E02 Tessa: geometry.trace_visible_line_of_sight</x:v>
      </x:c>
      <x:c r="E1176" s="58" t="b">
        <x:v>1</x:v>
      </x:c>
      <x:c r="F1176" s="19" t="str">
        <x:v>Planned</x:v>
      </x:c>
    </x:row>
    <x:row r="1177" ht="32" customHeight="1">
      <x:c r="A1177" s="17" t="str">
        <x:v>F1170</x:v>
      </x:c>
      <x:c r="B1177" s="51" t="n">
        <x:v>17</x:v>
      </x:c>
      <x:c r="C1177" s="17" t="str">
        <x:v>Event detail</x:v>
      </x:c>
      <x:c r="D1177" s="20" t="str">
        <x:v>C17E02 Tessa: geometry.reveals_current_person_location_or_mind</x:v>
      </x:c>
      <x:c r="E1177" s="59" t="b">
        <x:v>0</x:v>
      </x:c>
      <x:c r="F1177" s="20" t="str">
        <x:v>Planned</x:v>
      </x:c>
    </x:row>
    <x:row r="1178" ht="28" customHeight="1">
      <x:c r="A1178" s="2" t="str">
        <x:v>F1171</x:v>
      </x:c>
      <x:c r="B1178" s="50" t="n">
        <x:v>17</x:v>
      </x:c>
      <x:c r="C1178" s="2" t="str">
        <x:v>Event detail</x:v>
      </x:c>
      <x:c r="D1178" s="19" t="str">
        <x:v>C17E03 Tessa: target</x:v>
      </x:c>
      <x:c r="E1178" s="19" t="str">
        <x:v>clear approach to conduit support</x:v>
      </x:c>
      <x:c r="F1178" s="19" t="str">
        <x:v>Planned</x:v>
      </x:c>
    </x:row>
    <x:row r="1179" ht="28" customHeight="1">
      <x:c r="A1179" s="17" t="str">
        <x:v>F1172</x:v>
      </x:c>
      <x:c r="B1179" s="51" t="n">
        <x:v>17</x:v>
      </x:c>
      <x:c r="C1179" s="17" t="str">
        <x:v>Event detail</x:v>
      </x:c>
      <x:c r="D1179" s="20" t="str">
        <x:v>C17E03 Tessa: geometry.path_length_m</x:v>
      </x:c>
      <x:c r="E1179" s="61" t="n">
        <x:v>8</x:v>
      </x:c>
      <x:c r="F1179" s="20" t="str">
        <x:v>Planned</x:v>
      </x:c>
    </x:row>
    <x:row r="1180" ht="32" customHeight="1">
      <x:c r="A1180" s="2" t="str">
        <x:v>F1173</x:v>
      </x:c>
      <x:c r="B1180" s="50" t="n">
        <x:v>17</x:v>
      </x:c>
      <x:c r="C1180" s="2" t="str">
        <x:v>Event detail</x:v>
      </x:c>
      <x:c r="D1180" s="19" t="str">
        <x:v>C17E03 Tessa: geometry.visible_traversable_physical_path</x:v>
      </x:c>
      <x:c r="E1180" s="58" t="b">
        <x:v>1</x:v>
      </x:c>
      <x:c r="F1180" s="19" t="str">
        <x:v>Planned</x:v>
      </x:c>
    </x:row>
    <x:row r="1181" ht="32" customHeight="1">
      <x:c r="A1181" s="17" t="str">
        <x:v>F1174</x:v>
      </x:c>
      <x:c r="B1181" s="51" t="n">
        <x:v>17</x:v>
      </x:c>
      <x:c r="C1181" s="17" t="str">
        <x:v>Event detail</x:v>
      </x:c>
      <x:c r="D1181" s="20" t="str">
        <x:v>C17E03 Tessa: geometry.passes_through_creature_wall_or_restraint</x:v>
      </x:c>
      <x:c r="E1181" s="59" t="b">
        <x:v>0</x:v>
      </x:c>
      <x:c r="F1181" s="20" t="str">
        <x:v>Planned</x:v>
      </x:c>
    </x:row>
    <x:row r="1182" ht="32" customHeight="1">
      <x:c r="A1182" s="2" t="str">
        <x:v>F1175</x:v>
      </x:c>
      <x:c r="B1182" s="50" t="n">
        <x:v>17</x:v>
      </x:c>
      <x:c r="C1182" s="2" t="str">
        <x:v>Event detail</x:v>
      </x:c>
      <x:c r="D1182" s="19" t="str">
        <x:v>C17E03 Tessa: geometry.carries_another_adult</x:v>
      </x:c>
      <x:c r="E1182" s="58" t="b">
        <x:v>0</x:v>
      </x:c>
      <x:c r="F1182" s="19" t="str">
        <x:v>Planned</x:v>
      </x:c>
    </x:row>
    <x:row r="1183" ht="32" customHeight="1">
      <x:c r="A1183" s="17" t="str">
        <x:v>F1176</x:v>
      </x:c>
      <x:c r="B1183" s="51" t="n">
        <x:v>17</x:v>
      </x:c>
      <x:c r="C1183" s="17" t="str">
        <x:v>Event detail</x:v>
      </x:c>
      <x:c r="D1183" s="20" t="str">
        <x:v>C17E03 Tessa: geometry.crosses_otherwise_impossible_gap</x:v>
      </x:c>
      <x:c r="E1183" s="59" t="b">
        <x:v>0</x:v>
      </x:c>
      <x:c r="F1183" s="20" t="str">
        <x:v>Planned</x:v>
      </x:c>
    </x:row>
    <x:row r="1184" ht="32" customHeight="1">
      <x:c r="A1184" s="2" t="str">
        <x:v>F1177</x:v>
      </x:c>
      <x:c r="B1184" s="50" t="n">
        <x:v>17</x:v>
      </x:c>
      <x:c r="C1184" s="2" t="str">
        <x:v>Event detail</x:v>
      </x:c>
      <x:c r="D1184" s="19" t="str">
        <x:v>C17E03 Tessa: geometry.hazard_immunity_assumed</x:v>
      </x:c>
      <x:c r="E1184" s="58" t="b">
        <x:v>0</x:v>
      </x:c>
      <x:c r="F1184" s="19" t="str">
        <x:v>Planned</x:v>
      </x:c>
    </x:row>
    <x:row r="1185" ht="28" customHeight="1">
      <x:c r="A1185" s="17" t="str">
        <x:v>F1178</x:v>
      </x:c>
      <x:c r="B1185" s="51" t="n">
        <x:v>17</x:v>
      </x:c>
      <x:c r="C1185" s="17" t="str">
        <x:v>Event detail</x:v>
      </x:c>
      <x:c r="D1185" s="20" t="str">
        <x:v>C17E04 Dane: target</x:v>
      </x:c>
      <x:c r="E1185" s="20" t="str">
        <x:v>front of workers sealing hostile conduit</x:v>
      </x:c>
      <x:c r="F1185" s="20" t="str">
        <x:v>Planned</x:v>
      </x:c>
    </x:row>
    <x:row r="1186" ht="32" customHeight="1">
      <x:c r="A1186" s="2" t="str">
        <x:v>F1179</x:v>
      </x:c>
      <x:c r="B1186" s="50" t="n">
        <x:v>17</x:v>
      </x:c>
      <x:c r="C1186" s="2" t="str">
        <x:v>Event detail</x:v>
      </x:c>
      <x:c r="D1186" s="19" t="str">
        <x:v>C17E04 Dane: geometry.weapon_raised_in_right_hand</x:v>
      </x:c>
      <x:c r="E1186" s="58" t="b">
        <x:v>1</x:v>
      </x:c>
      <x:c r="F1186" s="19" t="str">
        <x:v>Planned</x:v>
      </x:c>
    </x:row>
    <x:row r="1187" ht="28" customHeight="1">
      <x:c r="A1187" s="17" t="str">
        <x:v>F1180</x:v>
      </x:c>
      <x:c r="B1187" s="51" t="n">
        <x:v>17</x:v>
      </x:c>
      <x:c r="C1187" s="17" t="str">
        <x:v>Event detail</x:v>
      </x:c>
      <x:c r="D1187" s="20" t="str">
        <x:v>C17E04 Dane: geometry.effect_seconds</x:v>
      </x:c>
      <x:c r="E1187" s="61" t="n">
        <x:v>8</x:v>
      </x:c>
      <x:c r="F1187" s="20" t="str">
        <x:v>Planned</x:v>
      </x:c>
    </x:row>
    <x:row r="1188" ht="32" customHeight="1">
      <x:c r="A1188" s="2" t="str">
        <x:v>F1181</x:v>
      </x:c>
      <x:c r="B1188" s="50" t="n">
        <x:v>17</x:v>
      </x:c>
      <x:c r="C1188" s="2" t="str">
        <x:v>Event detail</x:v>
      </x:c>
      <x:c r="D1188" s="19" t="str">
        <x:v>C17E04 Dane: geometry.physical_attack_crosses_front</x:v>
      </x:c>
      <x:c r="E1188" s="58" t="b">
        <x:v>1</x:v>
      </x:c>
      <x:c r="F1188" s="19" t="str">
        <x:v>Planned</x:v>
      </x:c>
    </x:row>
    <x:row r="1189" ht="32" customHeight="1">
      <x:c r="A1189" s="17" t="str">
        <x:v>F1182</x:v>
      </x:c>
      <x:c r="B1189" s="51" t="n">
        <x:v>17</x:v>
      </x:c>
      <x:c r="C1189" s="17" t="str">
        <x:v>Event detail</x:v>
      </x:c>
      <x:c r="D1189" s="20" t="str">
        <x:v>C17E04 Dane: geometry.runs_or_attacks_during_effect</x:v>
      </x:c>
      <x:c r="E1189" s="59" t="b">
        <x:v>0</x:v>
      </x:c>
      <x:c r="F1189" s="20" t="str">
        <x:v>Planned</x:v>
      </x:c>
    </x:row>
    <x:row r="1190" ht="32" customHeight="1">
      <x:c r="A1190" s="2" t="str">
        <x:v>F1183</x:v>
      </x:c>
      <x:c r="B1190" s="50" t="n">
        <x:v>17</x:v>
      </x:c>
      <x:c r="C1190" s="2" t="str">
        <x:v>Event detail</x:v>
      </x:c>
      <x:c r="D1190" s="19" t="str">
        <x:v>C17E04 Dane: geometry.blocks_heat_poison_or_suffocation</x:v>
      </x:c>
      <x:c r="E1190" s="58" t="b">
        <x:v>0</x:v>
      </x:c>
      <x:c r="F1190" s="19" t="str">
        <x:v>Planned</x:v>
      </x:c>
    </x:row>
    <x:row r="1191" ht="32" customHeight="1">
      <x:c r="A1191" s="17" t="str">
        <x:v>F1184</x:v>
      </x:c>
      <x:c r="B1191" s="51" t="n">
        <x:v>17</x:v>
      </x:c>
      <x:c r="C1191" s="17" t="str">
        <x:v>Event detail</x:v>
      </x:c>
      <x:c r="D1191" s="20" t="str">
        <x:v>C17E04 Dane: geometry.reduced_force_still_can_hurt</x:v>
      </x:c>
      <x:c r="E1191" s="59" t="b">
        <x:v>1</x:v>
      </x:c>
      <x:c r="F1191" s="20" t="str">
        <x:v>Planned</x:v>
      </x:c>
    </x:row>
    <x:row r="1192" ht="28" customHeight="1">
      <x:c r="A1192" s="2" t="str">
        <x:v>F1185</x:v>
      </x:c>
      <x:c r="B1192" s="50" t="n">
        <x:v>17</x:v>
      </x:c>
      <x:c r="C1192" s="2" t="str">
        <x:v>Event detail</x:v>
      </x:c>
      <x:c r="D1192" s="19" t="str">
        <x:v>C17E05 Kip: target</x:v>
      </x:c>
      <x:c r="E1192" s="19" t="str">
        <x:v>drainage defense first jet</x:v>
      </x:c>
      <x:c r="F1192" s="19" t="str">
        <x:v>Planned</x:v>
      </x:c>
    </x:row>
    <x:row r="1193" ht="28" customHeight="1">
      <x:c r="A1193" s="17" t="str">
        <x:v>F1186</x:v>
      </x:c>
      <x:c r="B1193" s="51" t="n">
        <x:v>17</x:v>
      </x:c>
      <x:c r="C1193" s="17" t="str">
        <x:v>Event detail</x:v>
      </x:c>
      <x:c r="D1193" s="20" t="str">
        <x:v>C17E05 Kip: note</x:v>
      </x:c>
      <x:c r="E1193" s="20" t="str">
        <x:v>Available physical fixture, not the core or livingroot.</x:v>
      </x:c>
      <x:c r="F1193" s="20" t="str">
        <x:v>Planned</x:v>
      </x:c>
    </x:row>
    <x:row r="1194" ht="28" customHeight="1">
      <x:c r="A1194" s="2" t="str">
        <x:v>F1187</x:v>
      </x:c>
      <x:c r="B1194" s="50" t="n">
        <x:v>17</x:v>
      </x:c>
      <x:c r="C1194" s="2" t="str">
        <x:v>Event detail</x:v>
      </x:c>
      <x:c r="D1194" s="19" t="str">
        <x:v>C17E05 Kip: control_seconds</x:v>
      </x:c>
      <x:c r="E1194" s="60" t="n">
        <x:v>5</x:v>
      </x:c>
      <x:c r="F1194" s="19" t="str">
        <x:v>Planned</x:v>
      </x:c>
    </x:row>
    <x:row r="1195" ht="28" customHeight="1">
      <x:c r="A1195" s="17" t="str">
        <x:v>F1188</x:v>
      </x:c>
      <x:c r="B1195" s="51" t="n">
        <x:v>17</x:v>
      </x:c>
      <x:c r="C1195" s="17" t="str">
        <x:v>Event detail</x:v>
      </x:c>
      <x:c r="D1195" s="20" t="str">
        <x:v>C17E05 Kip: geometry.distance_m</x:v>
      </x:c>
      <x:c r="E1195" s="61" t="n">
        <x:v>9</x:v>
      </x:c>
      <x:c r="F1195" s="20" t="str">
        <x:v>Planned</x:v>
      </x:c>
    </x:row>
    <x:row r="1196" ht="32" customHeight="1">
      <x:c r="A1196" s="2" t="str">
        <x:v>F1189</x:v>
      </x:c>
      <x:c r="B1196" s="50" t="n">
        <x:v>17</x:v>
      </x:c>
      <x:c r="C1196" s="2" t="str">
        <x:v>Event detail</x:v>
      </x:c>
      <x:c r="D1196" s="19" t="str">
        <x:v>C17E05 Kip: geometry.prior_sight_distance_m</x:v>
      </x:c>
      <x:c r="E1196" s="60" t="n">
        <x:v>9</x:v>
      </x:c>
      <x:c r="F1196" s="19" t="str">
        <x:v>Planned</x:v>
      </x:c>
    </x:row>
    <x:row r="1197" ht="32" customHeight="1">
      <x:c r="A1197" s="17" t="str">
        <x:v>F1190</x:v>
      </x:c>
      <x:c r="B1197" s="51" t="n">
        <x:v>17</x:v>
      </x:c>
      <x:c r="C1197" s="17" t="str">
        <x:v>Event detail</x:v>
      </x:c>
      <x:c r="D1197" s="20" t="str">
        <x:v>C17E05 Kip: geometry.prior_sight_attention_seconds</x:v>
      </x:c>
      <x:c r="E1197" s="61" t="n">
        <x:v>1</x:v>
      </x:c>
      <x:c r="F1197" s="20" t="str">
        <x:v>Planned</x:v>
      </x:c>
    </x:row>
    <x:row r="1198" ht="28" customHeight="1">
      <x:c r="A1198" s="2" t="str">
        <x:v>F1191</x:v>
      </x:c>
      <x:c r="B1198" s="50" t="n">
        <x:v>17</x:v>
      </x:c>
      <x:c r="C1198" s="2" t="str">
        <x:v>Event detail</x:v>
      </x:c>
      <x:c r="D1198" s="19" t="str">
        <x:v>C17E05 Kip: geometry.visible_at_start</x:v>
      </x:c>
      <x:c r="E1198" s="58" t="b">
        <x:v>1</x:v>
      </x:c>
      <x:c r="F1198" s="19" t="str">
        <x:v>Planned</x:v>
      </x:c>
    </x:row>
    <x:row r="1199" ht="32" customHeight="1">
      <x:c r="A1199" s="17" t="str">
        <x:v>F1192</x:v>
      </x:c>
      <x:c r="B1199" s="51" t="n">
        <x:v>17</x:v>
      </x:c>
      <x:c r="C1199" s="17" t="str">
        <x:v>Event detail</x:v>
      </x:c>
      <x:c r="D1199" s="20" t="str">
        <x:v>C17E05 Kip: geometry.available_at_start</x:v>
      </x:c>
      <x:c r="E1199" s="59" t="b">
        <x:v>1</x:v>
      </x:c>
      <x:c r="F1199" s="20" t="str">
        <x:v>Planned</x:v>
      </x:c>
    </x:row>
    <x:row r="1200" ht="32" customHeight="1">
      <x:c r="A1200" s="2" t="str">
        <x:v>F1193</x:v>
      </x:c>
      <x:c r="B1200" s="50" t="n">
        <x:v>17</x:v>
      </x:c>
      <x:c r="C1200" s="2" t="str">
        <x:v>Event detail</x:v>
      </x:c>
      <x:c r="D1200" s="19" t="str">
        <x:v>C17E05 Kip: geometry.within_normal_mechanical_arc</x:v>
      </x:c>
      <x:c r="E1200" s="58" t="b">
        <x:v>1</x:v>
      </x:c>
      <x:c r="F1200" s="19" t="str">
        <x:v>Planned</x:v>
      </x:c>
    </x:row>
    <x:row r="1201" ht="28" customHeight="1">
      <x:c r="A1201" s="17" t="str">
        <x:v>F1194</x:v>
      </x:c>
      <x:c r="B1201" s="51" t="n">
        <x:v>17</x:v>
      </x:c>
      <x:c r="C1201" s="17" t="str">
        <x:v>Event detail</x:v>
      </x:c>
      <x:c r="D1201" s="20" t="str">
        <x:v>C17E05 Kip: geometry.ready_at_start</x:v>
      </x:c>
      <x:c r="E1201" s="59" t="b">
        <x:v>1</x:v>
      </x:c>
      <x:c r="F1201" s="20" t="str">
        <x:v>Planned</x:v>
      </x:c>
    </x:row>
    <x:row r="1202" ht="32" customHeight="1">
      <x:c r="A1202" s="2" t="str">
        <x:v>F1195</x:v>
      </x:c>
      <x:c r="B1202" s="50" t="n">
        <x:v>17</x:v>
      </x:c>
      <x:c r="C1202" s="2" t="str">
        <x:v>Event detail</x:v>
      </x:c>
      <x:c r="D1202" s="19" t="str">
        <x:v>C17E05 Kip: geometry.target_is_constructed_fixture</x:v>
      </x:c>
      <x:c r="E1202" s="58" t="b">
        <x:v>1</x:v>
      </x:c>
      <x:c r="F1202" s="19" t="str">
        <x:v>Planned</x:v>
      </x:c>
    </x:row>
    <x:row r="1203" ht="32" customHeight="1">
      <x:c r="A1203" s="17" t="str">
        <x:v>F1196</x:v>
      </x:c>
      <x:c r="B1203" s="51" t="n">
        <x:v>17</x:v>
      </x:c>
      <x:c r="C1203" s="17" t="str">
        <x:v>Event detail</x:v>
      </x:c>
      <x:c r="D1203" s="20" t="str">
        <x:v>C17E05 Kip: geometry.shield_removed_physically_if_any</x:v>
      </x:c>
      <x:c r="E1203" s="59" t="b">
        <x:v>1</x:v>
      </x:c>
      <x:c r="F1203" s="20" t="str">
        <x:v>Planned</x:v>
      </x:c>
    </x:row>
    <x:row r="1204" ht="28" customHeight="1">
      <x:c r="A1204" s="2" t="str">
        <x:v>F1197</x:v>
      </x:c>
      <x:c r="B1204" s="50" t="n">
        <x:v>17</x:v>
      </x:c>
      <x:c r="C1204" s="2" t="str">
        <x:v>Event detail</x:v>
      </x:c>
      <x:c r="D1204" s="19" t="str">
        <x:v>C17E05 Kip: outcome</x:v>
      </x:c>
      <x:c r="E1204" s="19" t="str">
        <x:v>ordinary legal fixture function, no strengthened output</x:v>
      </x:c>
      <x:c r="F1204" s="19" t="str">
        <x:v>Planned</x:v>
      </x:c>
    </x:row>
    <x:row r="1205" ht="28" customHeight="1">
      <x:c r="A1205" s="17" t="str">
        <x:v>F1198</x:v>
      </x:c>
      <x:c r="B1205" s="51" t="n">
        <x:v>17</x:v>
      </x:c>
      <x:c r="C1205" s="17" t="str">
        <x:v>Event detail</x:v>
      </x:c>
      <x:c r="D1205" s="20" t="str">
        <x:v>C17E06 Dane: target</x:v>
      </x:c>
      <x:c r="E1205" s="20" t="str">
        <x:v>front of safe outlet crew</x:v>
      </x:c>
      <x:c r="F1205" s="20" t="str">
        <x:v>Planned</x:v>
      </x:c>
    </x:row>
    <x:row r="1206" ht="28" customHeight="1">
      <x:c r="A1206" s="2" t="str">
        <x:v>F1199</x:v>
      </x:c>
      <x:c r="B1206" s="50" t="n">
        <x:v>17</x:v>
      </x:c>
      <x:c r="C1206" s="2" t="str">
        <x:v>Event detail</x:v>
      </x:c>
      <x:c r="D1206" s="19" t="str">
        <x:v>C17E06 Dane: note</x:v>
      </x:c>
      <x:c r="E1206" s="19" t="str">
        <x:v>50sec since previousstart; first8sec effect ended, legal45secCD.</x:v>
      </x:c>
      <x:c r="F1206" s="19" t="str">
        <x:v>Planned</x:v>
      </x:c>
    </x:row>
    <x:row r="1207" ht="32" customHeight="1">
      <x:c r="A1207" s="17" t="str">
        <x:v>F1200</x:v>
      </x:c>
      <x:c r="B1207" s="51" t="n">
        <x:v>17</x:v>
      </x:c>
      <x:c r="C1207" s="17" t="str">
        <x:v>Event detail</x:v>
      </x:c>
      <x:c r="D1207" s="20" t="str">
        <x:v>C17E06 Dane: geometry.weapon_raised_in_right_hand</x:v>
      </x:c>
      <x:c r="E1207" s="59" t="b">
        <x:v>1</x:v>
      </x:c>
      <x:c r="F1207" s="20" t="str">
        <x:v>Planned</x:v>
      </x:c>
    </x:row>
    <x:row r="1208" ht="28" customHeight="1">
      <x:c r="A1208" s="2" t="str">
        <x:v>F1201</x:v>
      </x:c>
      <x:c r="B1208" s="50" t="n">
        <x:v>17</x:v>
      </x:c>
      <x:c r="C1208" s="2" t="str">
        <x:v>Event detail</x:v>
      </x:c>
      <x:c r="D1208" s="19" t="str">
        <x:v>C17E06 Dane: geometry.effect_seconds</x:v>
      </x:c>
      <x:c r="E1208" s="60" t="n">
        <x:v>8</x:v>
      </x:c>
      <x:c r="F1208" s="19" t="str">
        <x:v>Planned</x:v>
      </x:c>
    </x:row>
    <x:row r="1209" ht="32" customHeight="1">
      <x:c r="A1209" s="17" t="str">
        <x:v>F1202</x:v>
      </x:c>
      <x:c r="B1209" s="51" t="n">
        <x:v>17</x:v>
      </x:c>
      <x:c r="C1209" s="17" t="str">
        <x:v>Event detail</x:v>
      </x:c>
      <x:c r="D1209" s="20" t="str">
        <x:v>C17E06 Dane: geometry.physical_attack_crosses_front</x:v>
      </x:c>
      <x:c r="E1209" s="59" t="b">
        <x:v>1</x:v>
      </x:c>
      <x:c r="F1209" s="20" t="str">
        <x:v>Planned</x:v>
      </x:c>
    </x:row>
    <x:row r="1210" ht="32" customHeight="1">
      <x:c r="A1210" s="2" t="str">
        <x:v>F1203</x:v>
      </x:c>
      <x:c r="B1210" s="50" t="n">
        <x:v>17</x:v>
      </x:c>
      <x:c r="C1210" s="2" t="str">
        <x:v>Event detail</x:v>
      </x:c>
      <x:c r="D1210" s="19" t="str">
        <x:v>C17E06 Dane: geometry.runs_or_attacks_during_effect</x:v>
      </x:c>
      <x:c r="E1210" s="58" t="b">
        <x:v>0</x:v>
      </x:c>
      <x:c r="F1210" s="19" t="str">
        <x:v>Planned</x:v>
      </x:c>
    </x:row>
    <x:row r="1211" ht="32" customHeight="1">
      <x:c r="A1211" s="17" t="str">
        <x:v>F1204</x:v>
      </x:c>
      <x:c r="B1211" s="51" t="n">
        <x:v>17</x:v>
      </x:c>
      <x:c r="C1211" s="17" t="str">
        <x:v>Event detail</x:v>
      </x:c>
      <x:c r="D1211" s="20" t="str">
        <x:v>C17E06 Dane: geometry.blocks_heat_poison_or_suffocation</x:v>
      </x:c>
      <x:c r="E1211" s="59" t="b">
        <x:v>0</x:v>
      </x:c>
      <x:c r="F1211" s="20" t="str">
        <x:v>Planned</x:v>
      </x:c>
    </x:row>
    <x:row r="1212" ht="32" customHeight="1">
      <x:c r="A1212" s="2" t="str">
        <x:v>F1205</x:v>
      </x:c>
      <x:c r="B1212" s="50" t="n">
        <x:v>17</x:v>
      </x:c>
      <x:c r="C1212" s="2" t="str">
        <x:v>Event detail</x:v>
      </x:c>
      <x:c r="D1212" s="19" t="str">
        <x:v>C17E06 Dane: geometry.reduced_force_still_can_hurt</x:v>
      </x:c>
      <x:c r="E1212" s="58" t="b">
        <x:v>1</x:v>
      </x:c>
      <x:c r="F1212" s="19" t="str">
        <x:v>Planned</x:v>
      </x:c>
    </x:row>
    <x:row r="1213" ht="28" customHeight="1">
      <x:c r="A1213" s="17" t="str">
        <x:v>F1206</x:v>
      </x:c>
      <x:c r="B1213" s="51" t="n">
        <x:v>17</x:v>
      </x:c>
      <x:c r="C1213" s="17" t="str">
        <x:v>Event detail</x:v>
      </x:c>
      <x:c r="D1213" s="20" t="str">
        <x:v>C17E07 Kip: target</x:v>
      </x:c>
      <x:c r="E1213" s="20" t="str">
        <x:v>drainage defense second gate</x:v>
      </x:c>
      <x:c r="F1213" s="20" t="str">
        <x:v>Planned</x:v>
      </x:c>
    </x:row>
    <x:row r="1214" ht="28" customHeight="1">
      <x:c r="A1214" s="2" t="str">
        <x:v>F1207</x:v>
      </x:c>
      <x:c r="B1214" s="50" t="n">
        <x:v>17</x:v>
      </x:c>
      <x:c r="C1214" s="2" t="str">
        <x:v>Event detail</x:v>
      </x:c>
      <x:c r="D1214" s="19" t="str">
        <x:v>C17E07 Kip: note</x:v>
      </x:c>
      <x:c r="E1214" s="19" t="str">
        <x:v>Separate ready fixture; ordinary mechanism5sec.</x:v>
      </x:c>
      <x:c r="F1214" s="19" t="str">
        <x:v>Planned</x:v>
      </x:c>
    </x:row>
    <x:row r="1215" ht="28" customHeight="1">
      <x:c r="A1215" s="17" t="str">
        <x:v>F1208</x:v>
      </x:c>
      <x:c r="B1215" s="51" t="n">
        <x:v>17</x:v>
      </x:c>
      <x:c r="C1215" s="17" t="str">
        <x:v>Event detail</x:v>
      </x:c>
      <x:c r="D1215" s="20" t="str">
        <x:v>C17E07 Kip: control_seconds</x:v>
      </x:c>
      <x:c r="E1215" s="61" t="n">
        <x:v>5</x:v>
      </x:c>
      <x:c r="F1215" s="20" t="str">
        <x:v>Planned</x:v>
      </x:c>
    </x:row>
    <x:row r="1216" ht="28" customHeight="1">
      <x:c r="A1216" s="2" t="str">
        <x:v>F1209</x:v>
      </x:c>
      <x:c r="B1216" s="50" t="n">
        <x:v>17</x:v>
      </x:c>
      <x:c r="C1216" s="2" t="str">
        <x:v>Event detail</x:v>
      </x:c>
      <x:c r="D1216" s="19" t="str">
        <x:v>C17E07 Kip: geometry.distance_m</x:v>
      </x:c>
      <x:c r="E1216" s="60" t="n">
        <x:v>12</x:v>
      </x:c>
      <x:c r="F1216" s="19" t="str">
        <x:v>Planned</x:v>
      </x:c>
    </x:row>
    <x:row r="1217" ht="32" customHeight="1">
      <x:c r="A1217" s="17" t="str">
        <x:v>F1210</x:v>
      </x:c>
      <x:c r="B1217" s="51" t="n">
        <x:v>17</x:v>
      </x:c>
      <x:c r="C1217" s="17" t="str">
        <x:v>Event detail</x:v>
      </x:c>
      <x:c r="D1217" s="20" t="str">
        <x:v>C17E07 Kip: geometry.prior_sight_distance_m</x:v>
      </x:c>
      <x:c r="E1217" s="61" t="n">
        <x:v>9</x:v>
      </x:c>
      <x:c r="F1217" s="20" t="str">
        <x:v>Planned</x:v>
      </x:c>
    </x:row>
    <x:row r="1218" ht="32" customHeight="1">
      <x:c r="A1218" s="2" t="str">
        <x:v>F1211</x:v>
      </x:c>
      <x:c r="B1218" s="50" t="n">
        <x:v>17</x:v>
      </x:c>
      <x:c r="C1218" s="2" t="str">
        <x:v>Event detail</x:v>
      </x:c>
      <x:c r="D1218" s="19" t="str">
        <x:v>C17E07 Kip: geometry.prior_sight_attention_seconds</x:v>
      </x:c>
      <x:c r="E1218" s="60" t="n">
        <x:v>1</x:v>
      </x:c>
      <x:c r="F1218" s="19" t="str">
        <x:v>Planned</x:v>
      </x:c>
    </x:row>
    <x:row r="1219" ht="28" customHeight="1">
      <x:c r="A1219" s="17" t="str">
        <x:v>F1212</x:v>
      </x:c>
      <x:c r="B1219" s="51" t="n">
        <x:v>17</x:v>
      </x:c>
      <x:c r="C1219" s="17" t="str">
        <x:v>Event detail</x:v>
      </x:c>
      <x:c r="D1219" s="20" t="str">
        <x:v>C17E07 Kip: geometry.visible_at_start</x:v>
      </x:c>
      <x:c r="E1219" s="59" t="b">
        <x:v>1</x:v>
      </x:c>
      <x:c r="F1219" s="20" t="str">
        <x:v>Planned</x:v>
      </x:c>
    </x:row>
    <x:row r="1220" ht="32" customHeight="1">
      <x:c r="A1220" s="2" t="str">
        <x:v>F1213</x:v>
      </x:c>
      <x:c r="B1220" s="50" t="n">
        <x:v>17</x:v>
      </x:c>
      <x:c r="C1220" s="2" t="str">
        <x:v>Event detail</x:v>
      </x:c>
      <x:c r="D1220" s="19" t="str">
        <x:v>C17E07 Kip: geometry.available_at_start</x:v>
      </x:c>
      <x:c r="E1220" s="58" t="b">
        <x:v>1</x:v>
      </x:c>
      <x:c r="F1220" s="19" t="str">
        <x:v>Planned</x:v>
      </x:c>
    </x:row>
    <x:row r="1221" ht="32" customHeight="1">
      <x:c r="A1221" s="17" t="str">
        <x:v>F1214</x:v>
      </x:c>
      <x:c r="B1221" s="51" t="n">
        <x:v>17</x:v>
      </x:c>
      <x:c r="C1221" s="17" t="str">
        <x:v>Event detail</x:v>
      </x:c>
      <x:c r="D1221" s="20" t="str">
        <x:v>C17E07 Kip: geometry.within_normal_mechanical_arc</x:v>
      </x:c>
      <x:c r="E1221" s="59" t="b">
        <x:v>1</x:v>
      </x:c>
      <x:c r="F1221" s="20" t="str">
        <x:v>Planned</x:v>
      </x:c>
    </x:row>
    <x:row r="1222" ht="28" customHeight="1">
      <x:c r="A1222" s="2" t="str">
        <x:v>F1215</x:v>
      </x:c>
      <x:c r="B1222" s="50" t="n">
        <x:v>17</x:v>
      </x:c>
      <x:c r="C1222" s="2" t="str">
        <x:v>Event detail</x:v>
      </x:c>
      <x:c r="D1222" s="19" t="str">
        <x:v>C17E07 Kip: geometry.ready_at_start</x:v>
      </x:c>
      <x:c r="E1222" s="58" t="b">
        <x:v>1</x:v>
      </x:c>
      <x:c r="F1222" s="19" t="str">
        <x:v>Planned</x:v>
      </x:c>
    </x:row>
    <x:row r="1223" ht="32" customHeight="1">
      <x:c r="A1223" s="17" t="str">
        <x:v>F1216</x:v>
      </x:c>
      <x:c r="B1223" s="51" t="n">
        <x:v>17</x:v>
      </x:c>
      <x:c r="C1223" s="17" t="str">
        <x:v>Event detail</x:v>
      </x:c>
      <x:c r="D1223" s="20" t="str">
        <x:v>C17E07 Kip: geometry.target_is_constructed_fixture</x:v>
      </x:c>
      <x:c r="E1223" s="59" t="b">
        <x:v>1</x:v>
      </x:c>
      <x:c r="F1223" s="20" t="str">
        <x:v>Planned</x:v>
      </x:c>
    </x:row>
    <x:row r="1224" ht="32" customHeight="1">
      <x:c r="A1224" s="2" t="str">
        <x:v>F1217</x:v>
      </x:c>
      <x:c r="B1224" s="50" t="n">
        <x:v>17</x:v>
      </x:c>
      <x:c r="C1224" s="2" t="str">
        <x:v>Event detail</x:v>
      </x:c>
      <x:c r="D1224" s="19" t="str">
        <x:v>C17E07 Kip: geometry.shield_removed_physically_if_any</x:v>
      </x:c>
      <x:c r="E1224" s="58" t="b">
        <x:v>1</x:v>
      </x:c>
      <x:c r="F1224" s="19" t="str">
        <x:v>Planned</x:v>
      </x:c>
    </x:row>
    <x:row r="1225" ht="28" customHeight="1">
      <x:c r="A1225" s="17" t="str">
        <x:v>F1218</x:v>
      </x:c>
      <x:c r="B1225" s="51" t="n">
        <x:v>17</x:v>
      </x:c>
      <x:c r="C1225" s="17" t="str">
        <x:v>Event detail</x:v>
      </x:c>
      <x:c r="D1225" s="20" t="str">
        <x:v>C17E07 Kip: outcome</x:v>
      </x:c>
      <x:c r="E1225" s="20" t="str">
        <x:v>ordinary legal fixture function, no strengthened output</x:v>
      </x:c>
      <x:c r="F1225" s="20" t="str">
        <x:v>Planned</x:v>
      </x:c>
    </x:row>
    <x:row r="1226" ht="28" customHeight="1">
      <x:c r="A1226" s="2" t="str">
        <x:v>F1219</x:v>
      </x:c>
      <x:c r="B1226" s="50" t="n">
        <x:v>17</x:v>
      </x:c>
      <x:c r="C1226" s="2" t="str">
        <x:v>Event detail</x:v>
      </x:c>
      <x:c r="D1226" s="19" t="str">
        <x:v>C17E09 Kip: target</x:v>
      </x:c>
      <x:c r="E1226" s="19" t="str">
        <x:v>E: gatewalk anchor</x:v>
      </x:c>
      <x:c r="F1226" s="19" t="str">
        <x:v>Planned</x:v>
      </x:c>
    </x:row>
    <x:row r="1227" ht="28" customHeight="1">
      <x:c r="A1227" s="17" t="str">
        <x:v>F1220</x:v>
      </x:c>
      <x:c r="B1227" s="51" t="n">
        <x:v>17</x:v>
      </x:c>
      <x:c r="C1227" s="17" t="str">
        <x:v>Event detail</x:v>
      </x:c>
      <x:c r="D1227" s="20" t="str">
        <x:v>C17E09 Kip: note</x:v>
      </x:c>
      <x:c r="E1227" s="20" t="str">
        <x:v>18m cleared room; allhostilesout;30sec contact; D retained, C destroyed.</x:v>
      </x:c>
      <x:c r="F1227" s="20" t="str">
        <x:v>Planned</x:v>
      </x:c>
    </x:row>
    <x:row r="1228" ht="32" customHeight="1">
      <x:c r="A1228" s="2" t="str">
        <x:v>F1221</x:v>
      </x:c>
      <x:c r="B1228" s="50" t="n">
        <x:v>17</x:v>
      </x:c>
      <x:c r="C1228" s="2" t="str">
        <x:v>Event detail</x:v>
      </x:c>
      <x:c r="D1228" s="19" t="str">
        <x:v>C17E09 Kip: geometry.enclosed_room_max_width_m</x:v>
      </x:c>
      <x:c r="E1228" s="60" t="n">
        <x:v>18</x:v>
      </x:c>
      <x:c r="F1228" s="19" t="str">
        <x:v>Planned</x:v>
      </x:c>
    </x:row>
    <x:row r="1229" ht="28" customHeight="1">
      <x:c r="A1229" s="17" t="str">
        <x:v>F1222</x:v>
      </x:c>
      <x:c r="B1229" s="51" t="n">
        <x:v>17</x:v>
      </x:c>
      <x:c r="C1229" s="17" t="str">
        <x:v>Event detail</x:v>
      </x:c>
      <x:c r="D1229" s="20" t="str">
        <x:v>C17E09 Kip: geometry.intact_anchor</x:v>
      </x:c>
      <x:c r="E1229" s="59" t="b">
        <x:v>1</x:v>
      </x:c>
      <x:c r="F1229" s="20" t="str">
        <x:v>Planned</x:v>
      </x:c>
    </x:row>
    <x:row r="1230" ht="32" customHeight="1">
      <x:c r="A1230" s="2" t="str">
        <x:v>F1223</x:v>
      </x:c>
      <x:c r="B1230" s="50" t="n">
        <x:v>17</x:v>
      </x:c>
      <x:c r="C1230" s="2" t="str">
        <x:v>Event detail</x:v>
      </x:c>
      <x:c r="D1230" s="19" t="str">
        <x:v>C17E09 Kip: geometry.guardian_defeated_or_none_assigned</x:v>
      </x:c>
      <x:c r="E1230" s="58" t="b">
        <x:v>1</x:v>
      </x:c>
      <x:c r="F1230" s="19" t="str">
        <x:v>Planned</x:v>
      </x:c>
    </x:row>
    <x:row r="1231" ht="32" customHeight="1">
      <x:c r="A1231" s="17" t="str">
        <x:v>F1224</x:v>
      </x:c>
      <x:c r="B1231" s="51" t="n">
        <x:v>17</x:v>
      </x:c>
      <x:c r="C1231" s="17" t="str">
        <x:v>Event detail</x:v>
      </x:c>
      <x:c r="D1231" s="20" t="str">
        <x:v>C17E09 Kip: geometry.protective_seal_removed_or_absent</x:v>
      </x:c>
      <x:c r="E1231" s="59" t="b">
        <x:v>1</x:v>
      </x:c>
      <x:c r="F1231" s="20" t="str">
        <x:v>Planned</x:v>
      </x:c>
    </x:row>
    <x:row r="1232" ht="32" customHeight="1">
      <x:c r="A1232" s="2" t="str">
        <x:v>F1225</x:v>
      </x:c>
      <x:c r="B1232" s="50" t="n">
        <x:v>17</x:v>
      </x:c>
      <x:c r="C1232" s="2" t="str">
        <x:v>Event detail</x:v>
      </x:c>
      <x:c r="D1232" s="19" t="str">
        <x:v>C17E09 Kip: geometry.living_hostiles_inside_at_start</x:v>
      </x:c>
      <x:c r="E1232" s="60" t="n">
        <x:v>0</x:v>
      </x:c>
      <x:c r="F1232" s="19" t="str">
        <x:v>Planned</x:v>
      </x:c>
    </x:row>
    <x:row r="1233" ht="28" customHeight="1">
      <x:c r="A1233" s="17" t="str">
        <x:v>F1226</x:v>
      </x:c>
      <x:c r="B1233" s="51" t="n">
        <x:v>17</x:v>
      </x:c>
      <x:c r="C1233" s="17" t="str">
        <x:v>Event detail</x:v>
      </x:c>
      <x:c r="D1233" s="20" t="str">
        <x:v>C17E09 Kip: geometry.boss_chamber</x:v>
      </x:c>
      <x:c r="E1233" s="59" t="b">
        <x:v>0</x:v>
      </x:c>
      <x:c r="F1233" s="20" t="str">
        <x:v>Planned</x:v>
      </x:c>
    </x:row>
    <x:row r="1234" ht="28" customHeight="1">
      <x:c r="A1234" s="2" t="str">
        <x:v>F1227</x:v>
      </x:c>
      <x:c r="B1234" s="50" t="n">
        <x:v>17</x:v>
      </x:c>
      <x:c r="C1234" s="2" t="str">
        <x:v>Event detail</x:v>
      </x:c>
      <x:c r="D1234" s="19" t="str">
        <x:v>C17E09 Kip: channel_seconds</x:v>
      </x:c>
      <x:c r="E1234" s="60" t="n">
        <x:v>30</x:v>
      </x:c>
      <x:c r="F1234" s="19" t="str">
        <x:v>Planned</x:v>
      </x:c>
    </x:row>
    <x:row r="1235" ht="28" customHeight="1">
      <x:c r="A1235" s="17" t="str">
        <x:v>F1228</x:v>
      </x:c>
      <x:c r="B1235" s="51" t="n">
        <x:v>17</x:v>
      </x:c>
      <x:c r="C1235" s="17" t="str">
        <x:v>Event detail</x:v>
      </x:c>
      <x:c r="D1235" s="20" t="str">
        <x:v>C17E09 Kip: outcome</x:v>
      </x:c>
      <x:c r="E1235" s="20" t="str">
        <x:v>success after uninterrupted30seconds</x:v>
      </x:c>
      <x:c r="F1235" s="20" t="str">
        <x:v>Planned</x:v>
      </x:c>
    </x:row>
    <x:row r="1236" ht="28" customHeight="1">
      <x:c r="A1236" s="2" t="str">
        <x:v>F1229</x:v>
      </x:c>
      <x:c r="B1236" s="50" t="n">
        <x:v>17</x:v>
      </x:c>
      <x:c r="C1236" s="2" t="str">
        <x:v>Event detail</x:v>
      </x:c>
      <x:c r="D1236" s="19" t="str">
        <x:v>C17E10 Kip: note</x:v>
      </x:c>
      <x:c r="E1236" s="19" t="str">
        <x:v>Protected, seated, no casting/movement/attack; another awake person keeps watch.</x:v>
      </x:c>
      <x:c r="F1236" s="19" t="str">
        <x:v>Planned</x:v>
      </x:c>
    </x:row>
    <x:row r="1237" ht="28" customHeight="1">
      <x:c r="A1237" s="17" t="str">
        <x:v>F1230</x:v>
      </x:c>
      <x:c r="B1237" s="51" t="n">
        <x:v>17</x:v>
      </x:c>
      <x:c r="C1237" s="17" t="str">
        <x:v>Event detail</x:v>
      </x:c>
      <x:c r="D1237" s="20" t="str">
        <x:v>C17E10 Kip: ends</x:v>
      </x:c>
      <x:c r="E1237" s="20" t="str">
        <x:v>Day 4 07:12:00</x:v>
      </x:c>
      <x:c r="F1237" s="20" t="str">
        <x:v>Planned</x:v>
      </x:c>
    </x:row>
    <x:row r="1238" ht="28" customHeight="1">
      <x:c r="A1238" s="2" t="str">
        <x:v>F1231</x:v>
      </x:c>
      <x:c r="B1238" s="50" t="n">
        <x:v>17</x:v>
      </x:c>
      <x:c r="C1238" s="2" t="str">
        <x:v>Event detail</x:v>
      </x:c>
      <x:c r="D1238" s="19" t="str">
        <x:v>C17E11 Tessa: note</x:v>
      </x:c>
      <x:c r="E1238" s="19" t="str">
        <x:v>Protected, seated, no casting/movement/attack; another awake person keeps watch.</x:v>
      </x:c>
      <x:c r="F1238" s="19" t="str">
        <x:v>Planned</x:v>
      </x:c>
    </x:row>
    <x:row r="1239" ht="28" customHeight="1">
      <x:c r="A1239" s="17" t="str">
        <x:v>F1232</x:v>
      </x:c>
      <x:c r="B1239" s="51" t="n">
        <x:v>17</x:v>
      </x:c>
      <x:c r="C1239" s="17" t="str">
        <x:v>Event detail</x:v>
      </x:c>
      <x:c r="D1239" s="20" t="str">
        <x:v>C17E11 Tessa: ends</x:v>
      </x:c>
      <x:c r="E1239" s="20" t="str">
        <x:v>Day 4 07:05:00</x:v>
      </x:c>
      <x:c r="F1239" s="20" t="str">
        <x:v>Planned</x:v>
      </x:c>
    </x:row>
    <x:row r="1240" ht="28" customHeight="1">
      <x:c r="A1240" s="2" t="str">
        <x:v>F1233</x:v>
      </x:c>
      <x:c r="B1240" s="50" t="n">
        <x:v>17</x:v>
      </x:c>
      <x:c r="C1240" s="2" t="str">
        <x:v>Event detail</x:v>
      </x:c>
      <x:c r="D1240" s="19" t="str">
        <x:v>C17E12 Owen: note</x:v>
      </x:c>
      <x:c r="E1240" s="19" t="str">
        <x:v>Protected, seated, no casting/movement/attack; another awake person keeps watch.</x:v>
      </x:c>
      <x:c r="F1240" s="19" t="str">
        <x:v>Planned</x:v>
      </x:c>
    </x:row>
    <x:row r="1241" ht="28" customHeight="1">
      <x:c r="A1241" s="17" t="str">
        <x:v>F1234</x:v>
      </x:c>
      <x:c r="B1241" s="51" t="n">
        <x:v>17</x:v>
      </x:c>
      <x:c r="C1241" s="17" t="str">
        <x:v>Event detail</x:v>
      </x:c>
      <x:c r="D1241" s="20" t="str">
        <x:v>C17E12 Owen: ends</x:v>
      </x:c>
      <x:c r="E1241" s="20" t="str">
        <x:v>Day 4 07:01:00</x:v>
      </x:c>
      <x:c r="F1241" s="20" t="str">
        <x:v>Planned</x:v>
      </x:c>
    </x:row>
    <x:row r="1242" ht="28" customHeight="1">
      <x:c r="A1242" s="2" t="str">
        <x:v>F1235</x:v>
      </x:c>
      <x:c r="B1242" s="50" t="n">
        <x:v>17</x:v>
      </x:c>
      <x:c r="C1242" s="2" t="str">
        <x:v>Event detail</x:v>
      </x:c>
      <x:c r="D1242" s="19" t="str">
        <x:v>C17E13 Dane: note</x:v>
      </x:c>
      <x:c r="E1242" s="19" t="str">
        <x:v>Protected, seated, no casting/movement/attack; another awake person keeps watch.</x:v>
      </x:c>
      <x:c r="F1242" s="19" t="str">
        <x:v>Planned</x:v>
      </x:c>
    </x:row>
    <x:row r="1243" ht="28" customHeight="1">
      <x:c r="A1243" s="17" t="str">
        <x:v>F1236</x:v>
      </x:c>
      <x:c r="B1243" s="51" t="n">
        <x:v>17</x:v>
      </x:c>
      <x:c r="C1243" s="17" t="str">
        <x:v>Event detail</x:v>
      </x:c>
      <x:c r="D1243" s="20" t="str">
        <x:v>C17E13 Dane: ends</x:v>
      </x:c>
      <x:c r="E1243" s="20" t="str">
        <x:v>Day 4 07:09:00</x:v>
      </x:c>
      <x:c r="F1243" s="20" t="str">
        <x:v>Planned</x:v>
      </x:c>
    </x:row>
    <x:row r="1244" ht="28" customHeight="1">
      <x:c r="A1244" s="2" t="str">
        <x:v>F1237</x:v>
      </x:c>
      <x:c r="B1244" s="50" t="n">
        <x:v>18</x:v>
      </x:c>
      <x:c r="C1244" s="2" t="str">
        <x:v>Event detail</x:v>
      </x:c>
      <x:c r="D1244" s="19" t="str">
        <x:v>C18E01 Tessa: target</x:v>
      </x:c>
      <x:c r="E1244" s="19" t="str">
        <x:v>visible guardian flank route</x:v>
      </x:c>
      <x:c r="F1244" s="19" t="str">
        <x:v>Planned</x:v>
      </x:c>
    </x:row>
    <x:row r="1245" ht="28" customHeight="1">
      <x:c r="A1245" s="17" t="str">
        <x:v>F1238</x:v>
      </x:c>
      <x:c r="B1245" s="51" t="n">
        <x:v>18</x:v>
      </x:c>
      <x:c r="C1245" s="17" t="str">
        <x:v>Event detail</x:v>
      </x:c>
      <x:c r="D1245" s="20" t="str">
        <x:v>C18E01 Tessa: geometry.path_length_m</x:v>
      </x:c>
      <x:c r="E1245" s="61" t="n">
        <x:v>8</x:v>
      </x:c>
      <x:c r="F1245" s="20" t="str">
        <x:v>Planned</x:v>
      </x:c>
    </x:row>
    <x:row r="1246" ht="32" customHeight="1">
      <x:c r="A1246" s="2" t="str">
        <x:v>F1239</x:v>
      </x:c>
      <x:c r="B1246" s="50" t="n">
        <x:v>18</x:v>
      </x:c>
      <x:c r="C1246" s="2" t="str">
        <x:v>Event detail</x:v>
      </x:c>
      <x:c r="D1246" s="19" t="str">
        <x:v>C18E01 Tessa: geometry.visible_traversable_physical_path</x:v>
      </x:c>
      <x:c r="E1246" s="58" t="b">
        <x:v>1</x:v>
      </x:c>
      <x:c r="F1246" s="19" t="str">
        <x:v>Planned</x:v>
      </x:c>
    </x:row>
    <x:row r="1247" ht="32" customHeight="1">
      <x:c r="A1247" s="17" t="str">
        <x:v>F1240</x:v>
      </x:c>
      <x:c r="B1247" s="51" t="n">
        <x:v>18</x:v>
      </x:c>
      <x:c r="C1247" s="17" t="str">
        <x:v>Event detail</x:v>
      </x:c>
      <x:c r="D1247" s="20" t="str">
        <x:v>C18E01 Tessa: geometry.passes_through_creature_wall_or_restraint</x:v>
      </x:c>
      <x:c r="E1247" s="59" t="b">
        <x:v>0</x:v>
      </x:c>
      <x:c r="F1247" s="20" t="str">
        <x:v>Planned</x:v>
      </x:c>
    </x:row>
    <x:row r="1248" ht="32" customHeight="1">
      <x:c r="A1248" s="2" t="str">
        <x:v>F1241</x:v>
      </x:c>
      <x:c r="B1248" s="50" t="n">
        <x:v>18</x:v>
      </x:c>
      <x:c r="C1248" s="2" t="str">
        <x:v>Event detail</x:v>
      </x:c>
      <x:c r="D1248" s="19" t="str">
        <x:v>C18E01 Tessa: geometry.carries_another_adult</x:v>
      </x:c>
      <x:c r="E1248" s="58" t="b">
        <x:v>0</x:v>
      </x:c>
      <x:c r="F1248" s="19" t="str">
        <x:v>Planned</x:v>
      </x:c>
    </x:row>
    <x:row r="1249" ht="32" customHeight="1">
      <x:c r="A1249" s="17" t="str">
        <x:v>F1242</x:v>
      </x:c>
      <x:c r="B1249" s="51" t="n">
        <x:v>18</x:v>
      </x:c>
      <x:c r="C1249" s="17" t="str">
        <x:v>Event detail</x:v>
      </x:c>
      <x:c r="D1249" s="20" t="str">
        <x:v>C18E01 Tessa: geometry.crosses_otherwise_impossible_gap</x:v>
      </x:c>
      <x:c r="E1249" s="59" t="b">
        <x:v>0</x:v>
      </x:c>
      <x:c r="F1249" s="20" t="str">
        <x:v>Planned</x:v>
      </x:c>
    </x:row>
    <x:row r="1250" ht="32" customHeight="1">
      <x:c r="A1250" s="2" t="str">
        <x:v>F1243</x:v>
      </x:c>
      <x:c r="B1250" s="50" t="n">
        <x:v>18</x:v>
      </x:c>
      <x:c r="C1250" s="2" t="str">
        <x:v>Event detail</x:v>
      </x:c>
      <x:c r="D1250" s="19" t="str">
        <x:v>C18E01 Tessa: geometry.hazard_immunity_assumed</x:v>
      </x:c>
      <x:c r="E1250" s="58" t="b">
        <x:v>0</x:v>
      </x:c>
      <x:c r="F1250" s="19" t="str">
        <x:v>Planned</x:v>
      </x:c>
    </x:row>
    <x:row r="1251" ht="28" customHeight="1">
      <x:c r="A1251" s="17" t="str">
        <x:v>F1244</x:v>
      </x:c>
      <x:c r="B1251" s="51" t="n">
        <x:v>18</x:v>
      </x:c>
      <x:c r="C1251" s="17" t="str">
        <x:v>Event detail</x:v>
      </x:c>
      <x:c r="D1251" s="20" t="str">
        <x:v>C18E02 Dane: target</x:v>
      </x:c>
      <x:c r="E1251" s="20" t="str">
        <x:v>Tessa within8m</x:v>
      </x:c>
      <x:c r="F1251" s="20" t="str">
        <x:v>Planned</x:v>
      </x:c>
    </x:row>
    <x:row r="1252" ht="28" customHeight="1">
      <x:c r="A1252" s="2" t="str">
        <x:v>F1245</x:v>
      </x:c>
      <x:c r="B1252" s="50" t="n">
        <x:v>18</x:v>
      </x:c>
      <x:c r="C1252" s="2" t="str">
        <x:v>Event detail</x:v>
      </x:c>
      <x:c r="D1252" s="19" t="str">
        <x:v>C18E02 Dane: note</x:v>
      </x:c>
      <x:c r="E1252" s="19" t="str">
        <x:v> Separate early deliberate block at08:10:03; Ward takes the later physical strike at08:10:13.</x:v>
      </x:c>
      <x:c r="F1252" s="19" t="str">
        <x:v>Planned</x:v>
      </x:c>
    </x:row>
    <x:row r="1253" ht="28" customHeight="1">
      <x:c r="A1253" s="17" t="str">
        <x:v>F1246</x:v>
      </x:c>
      <x:c r="B1253" s="51" t="n">
        <x:v>18</x:v>
      </x:c>
      <x:c r="C1253" s="17" t="str">
        <x:v>Event detail</x:v>
      </x:c>
      <x:c r="D1253" s="20" t="str">
        <x:v>C18E02 Dane: geometry.path_length_m</x:v>
      </x:c>
      <x:c r="E1253" s="61" t="n">
        <x:v>6</x:v>
      </x:c>
      <x:c r="F1253" s="20" t="str">
        <x:v>Planned</x:v>
      </x:c>
    </x:row>
    <x:row r="1254" ht="28" customHeight="1">
      <x:c r="A1254" s="2" t="str">
        <x:v>F1247</x:v>
      </x:c>
      <x:c r="B1254" s="50" t="n">
        <x:v>18</x:v>
      </x:c>
      <x:c r="C1254" s="2" t="str">
        <x:v>Event detail</x:v>
      </x:c>
      <x:c r="D1254" s="19" t="str">
        <x:v>C18E02 Dane: geometry.visible_ally</x:v>
      </x:c>
      <x:c r="E1254" s="58" t="b">
        <x:v>1</x:v>
      </x:c>
      <x:c r="F1254" s="19" t="str">
        <x:v>Planned</x:v>
      </x:c>
    </x:row>
    <x:row r="1255" ht="32" customHeight="1">
      <x:c r="A1255" s="17" t="str">
        <x:v>F1248</x:v>
      </x:c>
      <x:c r="B1255" s="51" t="n">
        <x:v>18</x:v>
      </x:c>
      <x:c r="C1255" s="17" t="str">
        <x:v>Event detail</x:v>
      </x:c>
      <x:c r="D1255" s="20" t="str">
        <x:v>C18E02 Dane: geometry.clear_physical_path</x:v>
      </x:c>
      <x:c r="E1255" s="59" t="b">
        <x:v>1</x:v>
      </x:c>
      <x:c r="F1255" s="20" t="str">
        <x:v>Planned</x:v>
      </x:c>
    </x:row>
    <x:row r="1256" ht="32" customHeight="1">
      <x:c r="A1256" s="2" t="str">
        <x:v>F1249</x:v>
      </x:c>
      <x:c r="B1256" s="50" t="n">
        <x:v>18</x:v>
      </x:c>
      <x:c r="C1256" s="2" t="str">
        <x:v>Event detail</x:v>
      </x:c>
      <x:c r="D1256" s="19" t="str">
        <x:v>C18E02 Dane: geometry.functional_weapon_in_right_hand</x:v>
      </x:c>
      <x:c r="E1256" s="58" t="b">
        <x:v>1</x:v>
      </x:c>
      <x:c r="F1256" s="19" t="str">
        <x:v>Planned</x:v>
      </x:c>
    </x:row>
    <x:row r="1257" ht="32" customHeight="1">
      <x:c r="A1257" s="17" t="str">
        <x:v>F1250</x:v>
      </x:c>
      <x:c r="B1257" s="51" t="n">
        <x:v>18</x:v>
      </x:c>
      <x:c r="C1257" s="17" t="str">
        <x:v>Event detail</x:v>
      </x:c>
      <x:c r="D1257" s="20" t="str">
        <x:v>C18E02 Dane: geometry.uses_enhanced_block</x:v>
      </x:c>
      <x:c r="E1257" s="59" t="b">
        <x:v>1</x:v>
      </x:c>
      <x:c r="F1257" s="20" t="str">
        <x:v>Planned</x:v>
      </x:c>
    </x:row>
    <x:row r="1258" ht="32" customHeight="1">
      <x:c r="A1258" s="2" t="str">
        <x:v>F1251</x:v>
      </x:c>
      <x:c r="B1258" s="50" t="n">
        <x:v>18</x:v>
      </x:c>
      <x:c r="C1258" s="2" t="str">
        <x:v>Event detail</x:v>
      </x:c>
      <x:c r="D1258" s="19" t="str">
        <x:v>C18E02 Dane: geometry.block_seconds_after_activation</x:v>
      </x:c>
      <x:c r="E1258" s="60" t="n">
        <x:v>1</x:v>
      </x:c>
      <x:c r="F1258" s="19" t="str">
        <x:v>Planned</x:v>
      </x:c>
    </x:row>
    <x:row r="1259" ht="32" customHeight="1">
      <x:c r="A1259" s="17" t="str">
        <x:v>F1252</x:v>
      </x:c>
      <x:c r="B1259" s="51" t="n">
        <x:v>18</x:v>
      </x:c>
      <x:c r="C1259" s="17" t="str">
        <x:v>Event detail</x:v>
      </x:c>
      <x:c r="D1259" s="20" t="str">
        <x:v>C18E02 Dane: geometry.parryable_physical_attack</x:v>
      </x:c>
      <x:c r="E1259" s="59" t="b">
        <x:v>1</x:v>
      </x:c>
      <x:c r="F1259" s="20" t="str">
        <x:v>Planned</x:v>
      </x:c>
    </x:row>
    <x:row r="1260" ht="32" customHeight="1">
      <x:c r="A1260" s="2" t="str">
        <x:v>F1253</x:v>
      </x:c>
      <x:c r="B1260" s="50" t="n">
        <x:v>18</x:v>
      </x:c>
      <x:c r="C1260" s="2" t="str">
        <x:v>Event detail</x:v>
      </x:c>
      <x:c r="D1260" s="19" t="str">
        <x:v>C18E02 Dane: geometry.all_direction_protection_assumed</x:v>
      </x:c>
      <x:c r="E1260" s="58" t="b">
        <x:v>0</x:v>
      </x:c>
      <x:c r="F1260" s="19" t="str">
        <x:v>Planned</x:v>
      </x:c>
    </x:row>
    <x:row r="1261" ht="28" customHeight="1">
      <x:c r="A1261" s="17" t="str">
        <x:v>F1254</x:v>
      </x:c>
      <x:c r="B1261" s="51" t="n">
        <x:v>18</x:v>
      </x:c>
      <x:c r="C1261" s="17" t="str">
        <x:v>Event detail</x:v>
      </x:c>
      <x:c r="D1261" s="20" t="str">
        <x:v>C18E03 Kip: target</x:v>
      </x:c>
      <x:c r="E1261" s="20" t="str">
        <x:v>physical guardian strike lane</x:v>
      </x:c>
      <x:c r="F1261" s="20" t="str">
        <x:v>Planned</x:v>
      </x:c>
    </x:row>
    <x:row r="1262" ht="28" customHeight="1">
      <x:c r="A1262" s="2" t="str">
        <x:v>F1255</x:v>
      </x:c>
      <x:c r="B1262" s="50" t="n">
        <x:v>18</x:v>
      </x:c>
      <x:c r="C1262" s="2" t="str">
        <x:v>Event detail</x:v>
      </x:c>
      <x:c r="D1262" s="19" t="str">
        <x:v>C18E03 Kip: setup_seconds</x:v>
      </x:c>
      <x:c r="E1262" s="60" t="n">
        <x:v>2</x:v>
      </x:c>
      <x:c r="F1262" s="19" t="str">
        <x:v>Planned</x:v>
      </x:c>
    </x:row>
    <x:row r="1263" ht="32" customHeight="1">
      <x:c r="A1263" s="17" t="str">
        <x:v>F1256</x:v>
      </x:c>
      <x:c r="B1263" s="51" t="n">
        <x:v>18</x:v>
      </x:c>
      <x:c r="C1263" s="17" t="str">
        <x:v>Event detail</x:v>
      </x:c>
      <x:c r="D1263" s="20" t="str">
        <x:v>C18E03 Kip: physical_impact_seconds_after_start</x:v>
      </x:c>
      <x:c r="E1263" s="61" t="n">
        <x:v>8</x:v>
      </x:c>
      <x:c r="F1263" s="20" t="str">
        <x:v>Planned</x:v>
      </x:c>
    </x:row>
    <x:row r="1264" ht="28" customHeight="1">
      <x:c r="A1264" s="2" t="str">
        <x:v>F1257</x:v>
      </x:c>
      <x:c r="B1264" s="50" t="n">
        <x:v>18</x:v>
      </x:c>
      <x:c r="C1264" s="2" t="str">
        <x:v>Event detail</x:v>
      </x:c>
      <x:c r="D1264" s="19" t="str">
        <x:v>C18E03 Kip: geometry.clear_ground</x:v>
      </x:c>
      <x:c r="E1264" s="58" t="b">
        <x:v>1</x:v>
      </x:c>
      <x:c r="F1264" s="19" t="str">
        <x:v>Planned</x:v>
      </x:c>
    </x:row>
    <x:row r="1265" ht="28" customHeight="1">
      <x:c r="A1265" s="17" t="str">
        <x:v>F1258</x:v>
      </x:c>
      <x:c r="B1265" s="51" t="n">
        <x:v>18</x:v>
      </x:c>
      <x:c r="C1265" s="17" t="str">
        <x:v>Event detail</x:v>
      </x:c>
      <x:c r="D1265" s="20" t="str">
        <x:v>C18E03 Kip: geometry.within_3m</x:v>
      </x:c>
      <x:c r="E1265" s="59" t="b">
        <x:v>1</x:v>
      </x:c>
      <x:c r="F1265" s="20" t="str">
        <x:v>Planned</x:v>
      </x:c>
    </x:row>
    <x:row r="1266" ht="28" customHeight="1">
      <x:c r="A1266" s="2" t="str">
        <x:v>F1259</x:v>
      </x:c>
      <x:c r="B1266" s="50" t="n">
        <x:v>18</x:v>
      </x:c>
      <x:c r="C1266" s="2" t="str">
        <x:v>Event detail</x:v>
      </x:c>
      <x:c r="D1266" s="19" t="str">
        <x:v>C18E03 Kip: geometry.upright_2m_square</x:v>
      </x:c>
      <x:c r="E1266" s="58" t="b">
        <x:v>1</x:v>
      </x:c>
      <x:c r="F1266" s="19" t="str">
        <x:v>Planned</x:v>
      </x:c>
    </x:row>
    <x:row r="1267" ht="28" customHeight="1">
      <x:c r="A1267" s="17" t="str">
        <x:v>F1260</x:v>
      </x:c>
      <x:c r="B1267" s="51" t="n">
        <x:v>18</x:v>
      </x:c>
      <x:c r="C1267" s="17" t="str">
        <x:v>Event detail</x:v>
      </x:c>
      <x:c r="D1267" s="20" t="str">
        <x:v>C18E03 Kip: geometry.stationary</x:v>
      </x:c>
      <x:c r="E1267" s="59" t="b">
        <x:v>1</x:v>
      </x:c>
      <x:c r="F1267" s="20" t="str">
        <x:v>Planned</x:v>
      </x:c>
    </x:row>
    <x:row r="1268" ht="32" customHeight="1">
      <x:c r="A1268" s="2" t="str">
        <x:v>F1261</x:v>
      </x:c>
      <x:c r="B1268" s="50" t="n">
        <x:v>18</x:v>
      </x:c>
      <x:c r="C1268" s="2" t="str">
        <x:v>Event detail</x:v>
      </x:c>
      <x:c r="D1268" s="19" t="str">
        <x:v>C18E03 Kip: geometry.physical_impact_crosses_front</x:v>
      </x:c>
      <x:c r="E1268" s="58" t="b">
        <x:v>1</x:v>
      </x:c>
      <x:c r="F1268" s="19" t="str">
        <x:v>Planned</x:v>
      </x:c>
    </x:row>
    <x:row r="1269" ht="32" customHeight="1">
      <x:c r="A1269" s="17" t="str">
        <x:v>F1262</x:v>
      </x:c>
      <x:c r="B1269" s="51" t="n">
        <x:v>18</x:v>
      </x:c>
      <x:c r="C1269" s="17" t="str">
        <x:v>Event detail</x:v>
      </x:c>
      <x:c r="D1269" s="20" t="str">
        <x:v>C18E03 Kip: geometry.blocks_heat_or_water</x:v>
      </x:c>
      <x:c r="E1269" s="59" t="b">
        <x:v>0</x:v>
      </x:c>
      <x:c r="F1269" s="20" t="str">
        <x:v>Planned</x:v>
      </x:c>
    </x:row>
    <x:row r="1270" ht="28" customHeight="1">
      <x:c r="A1270" s="2" t="str">
        <x:v>F1263</x:v>
      </x:c>
      <x:c r="B1270" s="50" t="n">
        <x:v>18</x:v>
      </x:c>
      <x:c r="C1270" s="2" t="str">
        <x:v>Event detail</x:v>
      </x:c>
      <x:c r="D1270" s="19" t="str">
        <x:v>C18E04 Kip: target</x:v>
      </x:c>
      <x:c r="E1270" s="19" t="str">
        <x:v>approach defensive bolt</x:v>
      </x:c>
      <x:c r="F1270" s="19" t="str">
        <x:v>Planned</x:v>
      </x:c>
    </x:row>
    <x:row r="1271" ht="28" customHeight="1">
      <x:c r="A1271" s="17" t="str">
        <x:v>F1264</x:v>
      </x:c>
      <x:c r="B1271" s="51" t="n">
        <x:v>18</x:v>
      </x:c>
      <x:c r="C1271" s="17" t="str">
        <x:v>Event detail</x:v>
      </x:c>
      <x:c r="D1271" s="20" t="str">
        <x:v>C18E04 Kip: note</x:v>
      </x:c>
      <x:c r="E1271" s="20" t="str">
        <x:v>Previouslyinspected at9m, availableat12m; no bossbodytarget.</x:v>
      </x:c>
      <x:c r="F1271" s="20" t="str">
        <x:v>Planned</x:v>
      </x:c>
    </x:row>
    <x:row r="1272" ht="28" customHeight="1">
      <x:c r="A1272" s="2" t="str">
        <x:v>F1265</x:v>
      </x:c>
      <x:c r="B1272" s="50" t="n">
        <x:v>18</x:v>
      </x:c>
      <x:c r="C1272" s="2" t="str">
        <x:v>Event detail</x:v>
      </x:c>
      <x:c r="D1272" s="19" t="str">
        <x:v>C18E04 Kip: control_seconds</x:v>
      </x:c>
      <x:c r="E1272" s="60" t="n">
        <x:v>1</x:v>
      </x:c>
      <x:c r="F1272" s="19" t="str">
        <x:v>Planned</x:v>
      </x:c>
    </x:row>
    <x:row r="1273" ht="28" customHeight="1">
      <x:c r="A1273" s="17" t="str">
        <x:v>F1266</x:v>
      </x:c>
      <x:c r="B1273" s="51" t="n">
        <x:v>18</x:v>
      </x:c>
      <x:c r="C1273" s="17" t="str">
        <x:v>Event detail</x:v>
      </x:c>
      <x:c r="D1273" s="20" t="str">
        <x:v>C18E04 Kip: geometry.distance_m</x:v>
      </x:c>
      <x:c r="E1273" s="61" t="n">
        <x:v>12</x:v>
      </x:c>
      <x:c r="F1273" s="20" t="str">
        <x:v>Planned</x:v>
      </x:c>
    </x:row>
    <x:row r="1274" ht="32" customHeight="1">
      <x:c r="A1274" s="2" t="str">
        <x:v>F1267</x:v>
      </x:c>
      <x:c r="B1274" s="50" t="n">
        <x:v>18</x:v>
      </x:c>
      <x:c r="C1274" s="2" t="str">
        <x:v>Event detail</x:v>
      </x:c>
      <x:c r="D1274" s="19" t="str">
        <x:v>C18E04 Kip: geometry.prior_sight_distance_m</x:v>
      </x:c>
      <x:c r="E1274" s="60" t="n">
        <x:v>9</x:v>
      </x:c>
      <x:c r="F1274" s="19" t="str">
        <x:v>Planned</x:v>
      </x:c>
    </x:row>
    <x:row r="1275" ht="32" customHeight="1">
      <x:c r="A1275" s="17" t="str">
        <x:v>F1268</x:v>
      </x:c>
      <x:c r="B1275" s="51" t="n">
        <x:v>18</x:v>
      </x:c>
      <x:c r="C1275" s="17" t="str">
        <x:v>Event detail</x:v>
      </x:c>
      <x:c r="D1275" s="20" t="str">
        <x:v>C18E04 Kip: geometry.prior_sight_attention_seconds</x:v>
      </x:c>
      <x:c r="E1275" s="61" t="n">
        <x:v>1</x:v>
      </x:c>
      <x:c r="F1275" s="20" t="str">
        <x:v>Planned</x:v>
      </x:c>
    </x:row>
    <x:row r="1276" ht="28" customHeight="1">
      <x:c r="A1276" s="2" t="str">
        <x:v>F1269</x:v>
      </x:c>
      <x:c r="B1276" s="50" t="n">
        <x:v>18</x:v>
      </x:c>
      <x:c r="C1276" s="2" t="str">
        <x:v>Event detail</x:v>
      </x:c>
      <x:c r="D1276" s="19" t="str">
        <x:v>C18E04 Kip: geometry.visible_at_start</x:v>
      </x:c>
      <x:c r="E1276" s="58" t="b">
        <x:v>1</x:v>
      </x:c>
      <x:c r="F1276" s="19" t="str">
        <x:v>Planned</x:v>
      </x:c>
    </x:row>
    <x:row r="1277" ht="32" customHeight="1">
      <x:c r="A1277" s="17" t="str">
        <x:v>F1270</x:v>
      </x:c>
      <x:c r="B1277" s="51" t="n">
        <x:v>18</x:v>
      </x:c>
      <x:c r="C1277" s="17" t="str">
        <x:v>Event detail</x:v>
      </x:c>
      <x:c r="D1277" s="20" t="str">
        <x:v>C18E04 Kip: geometry.available_at_start</x:v>
      </x:c>
      <x:c r="E1277" s="59" t="b">
        <x:v>1</x:v>
      </x:c>
      <x:c r="F1277" s="20" t="str">
        <x:v>Planned</x:v>
      </x:c>
    </x:row>
    <x:row r="1278" ht="32" customHeight="1">
      <x:c r="A1278" s="2" t="str">
        <x:v>F1271</x:v>
      </x:c>
      <x:c r="B1278" s="50" t="n">
        <x:v>18</x:v>
      </x:c>
      <x:c r="C1278" s="2" t="str">
        <x:v>Event detail</x:v>
      </x:c>
      <x:c r="D1278" s="19" t="str">
        <x:v>C18E04 Kip: geometry.within_normal_mechanical_arc</x:v>
      </x:c>
      <x:c r="E1278" s="58" t="b">
        <x:v>1</x:v>
      </x:c>
      <x:c r="F1278" s="19" t="str">
        <x:v>Planned</x:v>
      </x:c>
    </x:row>
    <x:row r="1279" ht="28" customHeight="1">
      <x:c r="A1279" s="17" t="str">
        <x:v>F1272</x:v>
      </x:c>
      <x:c r="B1279" s="51" t="n">
        <x:v>18</x:v>
      </x:c>
      <x:c r="C1279" s="17" t="str">
        <x:v>Event detail</x:v>
      </x:c>
      <x:c r="D1279" s="20" t="str">
        <x:v>C18E04 Kip: geometry.ready_at_start</x:v>
      </x:c>
      <x:c r="E1279" s="59" t="b">
        <x:v>1</x:v>
      </x:c>
      <x:c r="F1279" s="20" t="str">
        <x:v>Planned</x:v>
      </x:c>
    </x:row>
    <x:row r="1280" ht="32" customHeight="1">
      <x:c r="A1280" s="2" t="str">
        <x:v>F1273</x:v>
      </x:c>
      <x:c r="B1280" s="50" t="n">
        <x:v>18</x:v>
      </x:c>
      <x:c r="C1280" s="2" t="str">
        <x:v>Event detail</x:v>
      </x:c>
      <x:c r="D1280" s="19" t="str">
        <x:v>C18E04 Kip: geometry.target_is_constructed_fixture</x:v>
      </x:c>
      <x:c r="E1280" s="58" t="b">
        <x:v>1</x:v>
      </x:c>
      <x:c r="F1280" s="19" t="str">
        <x:v>Planned</x:v>
      </x:c>
    </x:row>
    <x:row r="1281" ht="32" customHeight="1">
      <x:c r="A1281" s="17" t="str">
        <x:v>F1274</x:v>
      </x:c>
      <x:c r="B1281" s="51" t="n">
        <x:v>18</x:v>
      </x:c>
      <x:c r="C1281" s="17" t="str">
        <x:v>Event detail</x:v>
      </x:c>
      <x:c r="D1281" s="20" t="str">
        <x:v>C18E04 Kip: geometry.shield_removed_physically_if_any</x:v>
      </x:c>
      <x:c r="E1281" s="59" t="b">
        <x:v>1</x:v>
      </x:c>
      <x:c r="F1281" s="20" t="str">
        <x:v>Planned</x:v>
      </x:c>
    </x:row>
    <x:row r="1282" ht="28" customHeight="1">
      <x:c r="A1282" s="2" t="str">
        <x:v>F1275</x:v>
      </x:c>
      <x:c r="B1282" s="50" t="n">
        <x:v>18</x:v>
      </x:c>
      <x:c r="C1282" s="2" t="str">
        <x:v>Event detail</x:v>
      </x:c>
      <x:c r="D1282" s="19" t="str">
        <x:v>C18E04 Kip: outcome</x:v>
      </x:c>
      <x:c r="E1282" s="19" t="str">
        <x:v>ordinary legal fixture function, no strengthened output</x:v>
      </x:c>
      <x:c r="F1282" s="19" t="str">
        <x:v>Planned</x:v>
      </x:c>
    </x:row>
    <x:row r="1283" ht="28" customHeight="1">
      <x:c r="A1283" s="17" t="str">
        <x:v>F1276</x:v>
      </x:c>
      <x:c r="B1283" s="51" t="n">
        <x:v>18</x:v>
      </x:c>
      <x:c r="C1283" s="17" t="str">
        <x:v>Event detail</x:v>
      </x:c>
      <x:c r="D1283" s="20" t="str">
        <x:v>C18E05 Dane: target</x:v>
      </x:c>
      <x:c r="E1283" s="20" t="str">
        <x:v>front of withdrawal</x:v>
      </x:c>
      <x:c r="F1283" s="20" t="str">
        <x:v>Planned</x:v>
      </x:c>
    </x:row>
    <x:row r="1284" ht="32" customHeight="1">
      <x:c r="A1284" s="2" t="str">
        <x:v>F1277</x:v>
      </x:c>
      <x:c r="B1284" s="50" t="n">
        <x:v>18</x:v>
      </x:c>
      <x:c r="C1284" s="2" t="str">
        <x:v>Event detail</x:v>
      </x:c>
      <x:c r="D1284" s="19" t="str">
        <x:v>C18E05 Dane: geometry.weapon_raised_in_right_hand</x:v>
      </x:c>
      <x:c r="E1284" s="58" t="b">
        <x:v>1</x:v>
      </x:c>
      <x:c r="F1284" s="19" t="str">
        <x:v>Planned</x:v>
      </x:c>
    </x:row>
    <x:row r="1285" ht="28" customHeight="1">
      <x:c r="A1285" s="17" t="str">
        <x:v>F1278</x:v>
      </x:c>
      <x:c r="B1285" s="51" t="n">
        <x:v>18</x:v>
      </x:c>
      <x:c r="C1285" s="17" t="str">
        <x:v>Event detail</x:v>
      </x:c>
      <x:c r="D1285" s="20" t="str">
        <x:v>C18E05 Dane: geometry.effect_seconds</x:v>
      </x:c>
      <x:c r="E1285" s="61" t="n">
        <x:v>8</x:v>
      </x:c>
      <x:c r="F1285" s="20" t="str">
        <x:v>Planned</x:v>
      </x:c>
    </x:row>
    <x:row r="1286" ht="32" customHeight="1">
      <x:c r="A1286" s="2" t="str">
        <x:v>F1279</x:v>
      </x:c>
      <x:c r="B1286" s="50" t="n">
        <x:v>18</x:v>
      </x:c>
      <x:c r="C1286" s="2" t="str">
        <x:v>Event detail</x:v>
      </x:c>
      <x:c r="D1286" s="19" t="str">
        <x:v>C18E05 Dane: geometry.physical_attack_crosses_front</x:v>
      </x:c>
      <x:c r="E1286" s="58" t="b">
        <x:v>1</x:v>
      </x:c>
      <x:c r="F1286" s="19" t="str">
        <x:v>Planned</x:v>
      </x:c>
    </x:row>
    <x:row r="1287" ht="32" customHeight="1">
      <x:c r="A1287" s="17" t="str">
        <x:v>F1280</x:v>
      </x:c>
      <x:c r="B1287" s="51" t="n">
        <x:v>18</x:v>
      </x:c>
      <x:c r="C1287" s="17" t="str">
        <x:v>Event detail</x:v>
      </x:c>
      <x:c r="D1287" s="20" t="str">
        <x:v>C18E05 Dane: geometry.runs_or_attacks_during_effect</x:v>
      </x:c>
      <x:c r="E1287" s="59" t="b">
        <x:v>0</x:v>
      </x:c>
      <x:c r="F1287" s="20" t="str">
        <x:v>Planned</x:v>
      </x:c>
    </x:row>
    <x:row r="1288" ht="32" customHeight="1">
      <x:c r="A1288" s="2" t="str">
        <x:v>F1281</x:v>
      </x:c>
      <x:c r="B1288" s="50" t="n">
        <x:v>18</x:v>
      </x:c>
      <x:c r="C1288" s="2" t="str">
        <x:v>Event detail</x:v>
      </x:c>
      <x:c r="D1288" s="19" t="str">
        <x:v>C18E05 Dane: geometry.blocks_heat_poison_or_suffocation</x:v>
      </x:c>
      <x:c r="E1288" s="58" t="b">
        <x:v>0</x:v>
      </x:c>
      <x:c r="F1288" s="19" t="str">
        <x:v>Planned</x:v>
      </x:c>
    </x:row>
    <x:row r="1289" ht="32" customHeight="1">
      <x:c r="A1289" s="17" t="str">
        <x:v>F1282</x:v>
      </x:c>
      <x:c r="B1289" s="51" t="n">
        <x:v>18</x:v>
      </x:c>
      <x:c r="C1289" s="17" t="str">
        <x:v>Event detail</x:v>
      </x:c>
      <x:c r="D1289" s="20" t="str">
        <x:v>C18E05 Dane: geometry.reduced_force_still_can_hurt</x:v>
      </x:c>
      <x:c r="E1289" s="59" t="b">
        <x:v>1</x:v>
      </x:c>
      <x:c r="F1289" s="20" t="str">
        <x:v>Planned</x:v>
      </x:c>
    </x:row>
    <x:row r="1290" ht="28" customHeight="1">
      <x:c r="A1290" s="2" t="str">
        <x:v>F1283</x:v>
      </x:c>
      <x:c r="B1290" s="50" t="n">
        <x:v>18</x:v>
      </x:c>
      <x:c r="C1290" s="2" t="str">
        <x:v>Event detail</x:v>
      </x:c>
      <x:c r="D1290" s="19" t="str">
        <x:v>C18E07 Kip: note</x:v>
      </x:c>
      <x:c r="E1290" s="19" t="str">
        <x:v>Protected, seated, no casting/movement/attack; another awake person keeps watch.</x:v>
      </x:c>
      <x:c r="F1290" s="19" t="str">
        <x:v>Planned</x:v>
      </x:c>
    </x:row>
    <x:row r="1291" ht="28" customHeight="1">
      <x:c r="A1291" s="17" t="str">
        <x:v>F1284</x:v>
      </x:c>
      <x:c r="B1291" s="51" t="n">
        <x:v>18</x:v>
      </x:c>
      <x:c r="C1291" s="17" t="str">
        <x:v>Event detail</x:v>
      </x:c>
      <x:c r="D1291" s="20" t="str">
        <x:v>C18E07 Kip: ends</x:v>
      </x:c>
      <x:c r="E1291" s="20" t="str">
        <x:v>Day 4 08:35:00</x:v>
      </x:c>
      <x:c r="F1291" s="20" t="str">
        <x:v>Planned</x:v>
      </x:c>
    </x:row>
    <x:row r="1292" ht="28" customHeight="1">
      <x:c r="A1292" s="2" t="str">
        <x:v>F1285</x:v>
      </x:c>
      <x:c r="B1292" s="50" t="n">
        <x:v>18</x:v>
      </x:c>
      <x:c r="C1292" s="2" t="str">
        <x:v>Event detail</x:v>
      </x:c>
      <x:c r="D1292" s="19" t="str">
        <x:v>C18E08 Tessa: note</x:v>
      </x:c>
      <x:c r="E1292" s="19" t="str">
        <x:v>Protected, seated, no casting/movement/attack; another awake person keeps watch.</x:v>
      </x:c>
      <x:c r="F1292" s="19" t="str">
        <x:v>Planned</x:v>
      </x:c>
    </x:row>
    <x:row r="1293" ht="28" customHeight="1">
      <x:c r="A1293" s="17" t="str">
        <x:v>F1286</x:v>
      </x:c>
      <x:c r="B1293" s="51" t="n">
        <x:v>18</x:v>
      </x:c>
      <x:c r="C1293" s="17" t="str">
        <x:v>Event detail</x:v>
      </x:c>
      <x:c r="D1293" s="20" t="str">
        <x:v>C18E08 Tessa: ends</x:v>
      </x:c>
      <x:c r="E1293" s="20" t="str">
        <x:v>Day 4 08:32:00</x:v>
      </x:c>
      <x:c r="F1293" s="20" t="str">
        <x:v>Planned</x:v>
      </x:c>
    </x:row>
    <x:row r="1294" ht="28" customHeight="1">
      <x:c r="A1294" s="2" t="str">
        <x:v>F1287</x:v>
      </x:c>
      <x:c r="B1294" s="50" t="n">
        <x:v>18</x:v>
      </x:c>
      <x:c r="C1294" s="2" t="str">
        <x:v>Event detail</x:v>
      </x:c>
      <x:c r="D1294" s="19" t="str">
        <x:v>C18E09 Dane: note</x:v>
      </x:c>
      <x:c r="E1294" s="19" t="str">
        <x:v>Protected, seated, no casting/movement/attack; another awake person keeps watch.</x:v>
      </x:c>
      <x:c r="F1294" s="19" t="str">
        <x:v>Planned</x:v>
      </x:c>
    </x:row>
    <x:row r="1295" ht="28" customHeight="1">
      <x:c r="A1295" s="17" t="str">
        <x:v>F1288</x:v>
      </x:c>
      <x:c r="B1295" s="51" t="n">
        <x:v>18</x:v>
      </x:c>
      <x:c r="C1295" s="17" t="str">
        <x:v>Event detail</x:v>
      </x:c>
      <x:c r="D1295" s="20" t="str">
        <x:v>C18E09 Dane: ends</x:v>
      </x:c>
      <x:c r="E1295" s="20" t="str">
        <x:v>Day 4 08:37:00</x:v>
      </x:c>
      <x:c r="F1295" s="20" t="str">
        <x:v>Planned</x:v>
      </x:c>
    </x:row>
    <x:row r="1296" ht="28" customHeight="1">
      <x:c r="A1296" s="2" t="str">
        <x:v>F1289</x:v>
      </x:c>
      <x:c r="B1296" s="50" t="n">
        <x:v>19</x:v>
      </x:c>
      <x:c r="C1296" s="2" t="str">
        <x:v>Event detail</x:v>
      </x:c>
      <x:c r="D1296" s="19" t="str">
        <x:v>C19E01 Kip: target</x:v>
      </x:c>
      <x:c r="E1296" s="19" t="str">
        <x:v>boss first strike lane</x:v>
      </x:c>
      <x:c r="F1296" s="19" t="str">
        <x:v>Planned</x:v>
      </x:c>
    </x:row>
    <x:row r="1297" ht="28" customHeight="1">
      <x:c r="A1297" s="17" t="str">
        <x:v>F1290</x:v>
      </x:c>
      <x:c r="B1297" s="51" t="n">
        <x:v>19</x:v>
      </x:c>
      <x:c r="C1297" s="17" t="str">
        <x:v>Event detail</x:v>
      </x:c>
      <x:c r="D1297" s="20" t="str">
        <x:v>C19E01 Kip: note</x:v>
      </x:c>
      <x:c r="E1297" s="20" t="str">
        <x:v>Forms09:00:02; physicalimpact09:00:04; Wardshatters.</x:v>
      </x:c>
      <x:c r="F1297" s="20" t="str">
        <x:v>Planned</x:v>
      </x:c>
    </x:row>
    <x:row r="1298" ht="28" customHeight="1">
      <x:c r="A1298" s="2" t="str">
        <x:v>F1291</x:v>
      </x:c>
      <x:c r="B1298" s="50" t="n">
        <x:v>19</x:v>
      </x:c>
      <x:c r="C1298" s="2" t="str">
        <x:v>Event detail</x:v>
      </x:c>
      <x:c r="D1298" s="19" t="str">
        <x:v>C19E01 Kip: setup_seconds</x:v>
      </x:c>
      <x:c r="E1298" s="60" t="n">
        <x:v>2</x:v>
      </x:c>
      <x:c r="F1298" s="19" t="str">
        <x:v>Planned</x:v>
      </x:c>
    </x:row>
    <x:row r="1299" ht="32" customHeight="1">
      <x:c r="A1299" s="17" t="str">
        <x:v>F1292</x:v>
      </x:c>
      <x:c r="B1299" s="51" t="n">
        <x:v>19</x:v>
      </x:c>
      <x:c r="C1299" s="17" t="str">
        <x:v>Event detail</x:v>
      </x:c>
      <x:c r="D1299" s="20" t="str">
        <x:v>C19E01 Kip: physical_impact_seconds_after_start</x:v>
      </x:c>
      <x:c r="E1299" s="61" t="n">
        <x:v>4</x:v>
      </x:c>
      <x:c r="F1299" s="20" t="str">
        <x:v>Planned</x:v>
      </x:c>
    </x:row>
    <x:row r="1300" ht="28" customHeight="1">
      <x:c r="A1300" s="2" t="str">
        <x:v>F1293</x:v>
      </x:c>
      <x:c r="B1300" s="50" t="n">
        <x:v>19</x:v>
      </x:c>
      <x:c r="C1300" s="2" t="str">
        <x:v>Event detail</x:v>
      </x:c>
      <x:c r="D1300" s="19" t="str">
        <x:v>C19E01 Kip: geometry.clear_ground</x:v>
      </x:c>
      <x:c r="E1300" s="58" t="b">
        <x:v>1</x:v>
      </x:c>
      <x:c r="F1300" s="19" t="str">
        <x:v>Planned</x:v>
      </x:c>
    </x:row>
    <x:row r="1301" ht="28" customHeight="1">
      <x:c r="A1301" s="17" t="str">
        <x:v>F1294</x:v>
      </x:c>
      <x:c r="B1301" s="51" t="n">
        <x:v>19</x:v>
      </x:c>
      <x:c r="C1301" s="17" t="str">
        <x:v>Event detail</x:v>
      </x:c>
      <x:c r="D1301" s="20" t="str">
        <x:v>C19E01 Kip: geometry.within_3m</x:v>
      </x:c>
      <x:c r="E1301" s="59" t="b">
        <x:v>1</x:v>
      </x:c>
      <x:c r="F1301" s="20" t="str">
        <x:v>Planned</x:v>
      </x:c>
    </x:row>
    <x:row r="1302" ht="28" customHeight="1">
      <x:c r="A1302" s="2" t="str">
        <x:v>F1295</x:v>
      </x:c>
      <x:c r="B1302" s="50" t="n">
        <x:v>19</x:v>
      </x:c>
      <x:c r="C1302" s="2" t="str">
        <x:v>Event detail</x:v>
      </x:c>
      <x:c r="D1302" s="19" t="str">
        <x:v>C19E01 Kip: geometry.upright_2m_square</x:v>
      </x:c>
      <x:c r="E1302" s="58" t="b">
        <x:v>1</x:v>
      </x:c>
      <x:c r="F1302" s="19" t="str">
        <x:v>Planned</x:v>
      </x:c>
    </x:row>
    <x:row r="1303" ht="28" customHeight="1">
      <x:c r="A1303" s="17" t="str">
        <x:v>F1296</x:v>
      </x:c>
      <x:c r="B1303" s="51" t="n">
        <x:v>19</x:v>
      </x:c>
      <x:c r="C1303" s="17" t="str">
        <x:v>Event detail</x:v>
      </x:c>
      <x:c r="D1303" s="20" t="str">
        <x:v>C19E01 Kip: geometry.stationary</x:v>
      </x:c>
      <x:c r="E1303" s="59" t="b">
        <x:v>1</x:v>
      </x:c>
      <x:c r="F1303" s="20" t="str">
        <x:v>Planned</x:v>
      </x:c>
    </x:row>
    <x:row r="1304" ht="32" customHeight="1">
      <x:c r="A1304" s="2" t="str">
        <x:v>F1297</x:v>
      </x:c>
      <x:c r="B1304" s="50" t="n">
        <x:v>19</x:v>
      </x:c>
      <x:c r="C1304" s="2" t="str">
        <x:v>Event detail</x:v>
      </x:c>
      <x:c r="D1304" s="19" t="str">
        <x:v>C19E01 Kip: geometry.physical_impact_crosses_front</x:v>
      </x:c>
      <x:c r="E1304" s="58" t="b">
        <x:v>1</x:v>
      </x:c>
      <x:c r="F1304" s="19" t="str">
        <x:v>Planned</x:v>
      </x:c>
    </x:row>
    <x:row r="1305" ht="32" customHeight="1">
      <x:c r="A1305" s="17" t="str">
        <x:v>F1298</x:v>
      </x:c>
      <x:c r="B1305" s="51" t="n">
        <x:v>19</x:v>
      </x:c>
      <x:c r="C1305" s="17" t="str">
        <x:v>Event detail</x:v>
      </x:c>
      <x:c r="D1305" s="20" t="str">
        <x:v>C19E01 Kip: geometry.blocks_heat_or_water</x:v>
      </x:c>
      <x:c r="E1305" s="59" t="b">
        <x:v>0</x:v>
      </x:c>
      <x:c r="F1305" s="20" t="str">
        <x:v>Planned</x:v>
      </x:c>
    </x:row>
    <x:row r="1306" ht="28" customHeight="1">
      <x:c r="A1306" s="2" t="str">
        <x:v>F1299</x:v>
      </x:c>
      <x:c r="B1306" s="50" t="n">
        <x:v>19</x:v>
      </x:c>
      <x:c r="C1306" s="2" t="str">
        <x:v>Event detail</x:v>
      </x:c>
      <x:c r="D1306" s="19" t="str">
        <x:v>C19E02 Dane: target</x:v>
      </x:c>
      <x:c r="E1306" s="19" t="str">
        <x:v>Kip within8m</x:v>
      </x:c>
      <x:c r="F1306" s="19" t="str">
        <x:v>Planned</x:v>
      </x:c>
    </x:row>
    <x:row r="1307" ht="28" customHeight="1">
      <x:c r="A1307" s="17" t="str">
        <x:v>F1300</x:v>
      </x:c>
      <x:c r="B1307" s="51" t="n">
        <x:v>19</x:v>
      </x:c>
      <x:c r="C1307" s="17" t="str">
        <x:v>Event detail</x:v>
      </x:c>
      <x:c r="D1307" s="20" t="str">
        <x:v>C19E02 Dane: note</x:v>
      </x:c>
      <x:c r="E1307" s="20" t="str">
        <x:v> Separate deliberate block at09:00:02; Ward takes a different later physical strike at09:00:04.</x:v>
      </x:c>
      <x:c r="F1307" s="20" t="str">
        <x:v>Planned</x:v>
      </x:c>
    </x:row>
    <x:row r="1308" ht="28" customHeight="1">
      <x:c r="A1308" s="2" t="str">
        <x:v>F1301</x:v>
      </x:c>
      <x:c r="B1308" s="50" t="n">
        <x:v>19</x:v>
      </x:c>
      <x:c r="C1308" s="2" t="str">
        <x:v>Event detail</x:v>
      </x:c>
      <x:c r="D1308" s="19" t="str">
        <x:v>C19E02 Dane: geometry.path_length_m</x:v>
      </x:c>
      <x:c r="E1308" s="60" t="n">
        <x:v>6</x:v>
      </x:c>
      <x:c r="F1308" s="19" t="str">
        <x:v>Planned</x:v>
      </x:c>
    </x:row>
    <x:row r="1309" ht="28" customHeight="1">
      <x:c r="A1309" s="17" t="str">
        <x:v>F1302</x:v>
      </x:c>
      <x:c r="B1309" s="51" t="n">
        <x:v>19</x:v>
      </x:c>
      <x:c r="C1309" s="17" t="str">
        <x:v>Event detail</x:v>
      </x:c>
      <x:c r="D1309" s="20" t="str">
        <x:v>C19E02 Dane: geometry.visible_ally</x:v>
      </x:c>
      <x:c r="E1309" s="59" t="b">
        <x:v>1</x:v>
      </x:c>
      <x:c r="F1309" s="20" t="str">
        <x:v>Planned</x:v>
      </x:c>
    </x:row>
    <x:row r="1310" ht="32" customHeight="1">
      <x:c r="A1310" s="2" t="str">
        <x:v>F1303</x:v>
      </x:c>
      <x:c r="B1310" s="50" t="n">
        <x:v>19</x:v>
      </x:c>
      <x:c r="C1310" s="2" t="str">
        <x:v>Event detail</x:v>
      </x:c>
      <x:c r="D1310" s="19" t="str">
        <x:v>C19E02 Dane: geometry.clear_physical_path</x:v>
      </x:c>
      <x:c r="E1310" s="58" t="b">
        <x:v>1</x:v>
      </x:c>
      <x:c r="F1310" s="19" t="str">
        <x:v>Planned</x:v>
      </x:c>
    </x:row>
    <x:row r="1311" ht="32" customHeight="1">
      <x:c r="A1311" s="17" t="str">
        <x:v>F1304</x:v>
      </x:c>
      <x:c r="B1311" s="51" t="n">
        <x:v>19</x:v>
      </x:c>
      <x:c r="C1311" s="17" t="str">
        <x:v>Event detail</x:v>
      </x:c>
      <x:c r="D1311" s="20" t="str">
        <x:v>C19E02 Dane: geometry.functional_weapon_in_right_hand</x:v>
      </x:c>
      <x:c r="E1311" s="59" t="b">
        <x:v>1</x:v>
      </x:c>
      <x:c r="F1311" s="20" t="str">
        <x:v>Planned</x:v>
      </x:c>
    </x:row>
    <x:row r="1312" ht="32" customHeight="1">
      <x:c r="A1312" s="2" t="str">
        <x:v>F1305</x:v>
      </x:c>
      <x:c r="B1312" s="50" t="n">
        <x:v>19</x:v>
      </x:c>
      <x:c r="C1312" s="2" t="str">
        <x:v>Event detail</x:v>
      </x:c>
      <x:c r="D1312" s="19" t="str">
        <x:v>C19E02 Dane: geometry.uses_enhanced_block</x:v>
      </x:c>
      <x:c r="E1312" s="58" t="b">
        <x:v>1</x:v>
      </x:c>
      <x:c r="F1312" s="19" t="str">
        <x:v>Planned</x:v>
      </x:c>
    </x:row>
    <x:row r="1313" ht="32" customHeight="1">
      <x:c r="A1313" s="17" t="str">
        <x:v>F1306</x:v>
      </x:c>
      <x:c r="B1313" s="51" t="n">
        <x:v>19</x:v>
      </x:c>
      <x:c r="C1313" s="17" t="str">
        <x:v>Event detail</x:v>
      </x:c>
      <x:c r="D1313" s="20" t="str">
        <x:v>C19E02 Dane: geometry.block_seconds_after_activation</x:v>
      </x:c>
      <x:c r="E1313" s="61" t="n">
        <x:v>1</x:v>
      </x:c>
      <x:c r="F1313" s="20" t="str">
        <x:v>Planned</x:v>
      </x:c>
    </x:row>
    <x:row r="1314" ht="32" customHeight="1">
      <x:c r="A1314" s="2" t="str">
        <x:v>F1307</x:v>
      </x:c>
      <x:c r="B1314" s="50" t="n">
        <x:v>19</x:v>
      </x:c>
      <x:c r="C1314" s="2" t="str">
        <x:v>Event detail</x:v>
      </x:c>
      <x:c r="D1314" s="19" t="str">
        <x:v>C19E02 Dane: geometry.parryable_physical_attack</x:v>
      </x:c>
      <x:c r="E1314" s="58" t="b">
        <x:v>1</x:v>
      </x:c>
      <x:c r="F1314" s="19" t="str">
        <x:v>Planned</x:v>
      </x:c>
    </x:row>
    <x:row r="1315" ht="32" customHeight="1">
      <x:c r="A1315" s="17" t="str">
        <x:v>F1308</x:v>
      </x:c>
      <x:c r="B1315" s="51" t="n">
        <x:v>19</x:v>
      </x:c>
      <x:c r="C1315" s="17" t="str">
        <x:v>Event detail</x:v>
      </x:c>
      <x:c r="D1315" s="20" t="str">
        <x:v>C19E02 Dane: geometry.all_direction_protection_assumed</x:v>
      </x:c>
      <x:c r="E1315" s="59" t="b">
        <x:v>0</x:v>
      </x:c>
      <x:c r="F1315" s="20" t="str">
        <x:v>Planned</x:v>
      </x:c>
    </x:row>
    <x:row r="1316" ht="28" customHeight="1">
      <x:c r="A1316" s="2" t="str">
        <x:v>F1309</x:v>
      </x:c>
      <x:c r="B1316" s="50" t="n">
        <x:v>19</x:v>
      </x:c>
      <x:c r="C1316" s="2" t="str">
        <x:v>Event detail</x:v>
      </x:c>
      <x:c r="D1316" s="19" t="str">
        <x:v>C19E03 Tessa: target</x:v>
      </x:c>
      <x:c r="E1316" s="19" t="str">
        <x:v>clear flank route; physicalshieldbreak by spear</x:v>
      </x:c>
      <x:c r="F1316" s="19" t="str">
        <x:v>Planned</x:v>
      </x:c>
    </x:row>
    <x:row r="1317" ht="28" customHeight="1">
      <x:c r="A1317" s="17" t="str">
        <x:v>F1310</x:v>
      </x:c>
      <x:c r="B1317" s="51" t="n">
        <x:v>19</x:v>
      </x:c>
      <x:c r="C1317" s="17" t="str">
        <x:v>Event detail</x:v>
      </x:c>
      <x:c r="D1317" s="20" t="str">
        <x:v>C19E03 Tessa: geometry.path_length_m</x:v>
      </x:c>
      <x:c r="E1317" s="61" t="n">
        <x:v>8</x:v>
      </x:c>
      <x:c r="F1317" s="20" t="str">
        <x:v>Planned</x:v>
      </x:c>
    </x:row>
    <x:row r="1318" ht="32" customHeight="1">
      <x:c r="A1318" s="2" t="str">
        <x:v>F1311</x:v>
      </x:c>
      <x:c r="B1318" s="50" t="n">
        <x:v>19</x:v>
      </x:c>
      <x:c r="C1318" s="2" t="str">
        <x:v>Event detail</x:v>
      </x:c>
      <x:c r="D1318" s="19" t="str">
        <x:v>C19E03 Tessa: geometry.visible_traversable_physical_path</x:v>
      </x:c>
      <x:c r="E1318" s="58" t="b">
        <x:v>1</x:v>
      </x:c>
      <x:c r="F1318" s="19" t="str">
        <x:v>Planned</x:v>
      </x:c>
    </x:row>
    <x:row r="1319" ht="32" customHeight="1">
      <x:c r="A1319" s="17" t="str">
        <x:v>F1312</x:v>
      </x:c>
      <x:c r="B1319" s="51" t="n">
        <x:v>19</x:v>
      </x:c>
      <x:c r="C1319" s="17" t="str">
        <x:v>Event detail</x:v>
      </x:c>
      <x:c r="D1319" s="20" t="str">
        <x:v>C19E03 Tessa: geometry.passes_through_creature_wall_or_restraint</x:v>
      </x:c>
      <x:c r="E1319" s="59" t="b">
        <x:v>0</x:v>
      </x:c>
      <x:c r="F1319" s="20" t="str">
        <x:v>Planned</x:v>
      </x:c>
    </x:row>
    <x:row r="1320" ht="32" customHeight="1">
      <x:c r="A1320" s="2" t="str">
        <x:v>F1313</x:v>
      </x:c>
      <x:c r="B1320" s="50" t="n">
        <x:v>19</x:v>
      </x:c>
      <x:c r="C1320" s="2" t="str">
        <x:v>Event detail</x:v>
      </x:c>
      <x:c r="D1320" s="19" t="str">
        <x:v>C19E03 Tessa: geometry.carries_another_adult</x:v>
      </x:c>
      <x:c r="E1320" s="58" t="b">
        <x:v>0</x:v>
      </x:c>
      <x:c r="F1320" s="19" t="str">
        <x:v>Planned</x:v>
      </x:c>
    </x:row>
    <x:row r="1321" ht="32" customHeight="1">
      <x:c r="A1321" s="17" t="str">
        <x:v>F1314</x:v>
      </x:c>
      <x:c r="B1321" s="51" t="n">
        <x:v>19</x:v>
      </x:c>
      <x:c r="C1321" s="17" t="str">
        <x:v>Event detail</x:v>
      </x:c>
      <x:c r="D1321" s="20" t="str">
        <x:v>C19E03 Tessa: geometry.crosses_otherwise_impossible_gap</x:v>
      </x:c>
      <x:c r="E1321" s="59" t="b">
        <x:v>0</x:v>
      </x:c>
      <x:c r="F1321" s="20" t="str">
        <x:v>Planned</x:v>
      </x:c>
    </x:row>
    <x:row r="1322" ht="32" customHeight="1">
      <x:c r="A1322" s="2" t="str">
        <x:v>F1315</x:v>
      </x:c>
      <x:c r="B1322" s="50" t="n">
        <x:v>19</x:v>
      </x:c>
      <x:c r="C1322" s="2" t="str">
        <x:v>Event detail</x:v>
      </x:c>
      <x:c r="D1322" s="19" t="str">
        <x:v>C19E03 Tessa: geometry.hazard_immunity_assumed</x:v>
      </x:c>
      <x:c r="E1322" s="58" t="b">
        <x:v>0</x:v>
      </x:c>
      <x:c r="F1322" s="19" t="str">
        <x:v>Planned</x:v>
      </x:c>
    </x:row>
    <x:row r="1323" ht="28" customHeight="1">
      <x:c r="A1323" s="17" t="str">
        <x:v>F1316</x:v>
      </x:c>
      <x:c r="B1323" s="51" t="n">
        <x:v>19</x:v>
      </x:c>
      <x:c r="C1323" s="17" t="str">
        <x:v>Event detail</x:v>
      </x:c>
      <x:c r="D1323" s="20" t="str">
        <x:v>C19E04 Kip: target</x:v>
      </x:c>
      <x:c r="E1323" s="20" t="str">
        <x:v>boss fixture A</x:v>
      </x:c>
      <x:c r="F1323" s="20" t="str">
        <x:v>Planned</x:v>
      </x:c>
    </x:row>
    <x:row r="1324" ht="28" customHeight="1">
      <x:c r="A1324" s="2" t="str">
        <x:v>F1317</x:v>
      </x:c>
      <x:c r="B1324" s="50" t="n">
        <x:v>19</x:v>
      </x:c>
      <x:c r="C1324" s="2" t="str">
        <x:v>Event detail</x:v>
      </x:c>
      <x:c r="D1324" s="19" t="str">
        <x:v>C19E04 Kip: note</x:v>
      </x:c>
      <x:c r="E1324" s="19" t="str">
        <x:v>PreviouslySightinspectedwithin10m, shieldphysicallybroken; visiblewithin15m; ordinaryarc.</x:v>
      </x:c>
      <x:c r="F1324" s="19" t="str">
        <x:v>Planned</x:v>
      </x:c>
    </x:row>
    <x:row r="1325" ht="28" customHeight="1">
      <x:c r="A1325" s="17" t="str">
        <x:v>F1318</x:v>
      </x:c>
      <x:c r="B1325" s="51" t="n">
        <x:v>19</x:v>
      </x:c>
      <x:c r="C1325" s="17" t="str">
        <x:v>Event detail</x:v>
      </x:c>
      <x:c r="D1325" s="20" t="str">
        <x:v>C19E04 Kip: control_seconds</x:v>
      </x:c>
      <x:c r="E1325" s="61" t="n">
        <x:v>1</x:v>
      </x:c>
      <x:c r="F1325" s="20" t="str">
        <x:v>Planned</x:v>
      </x:c>
    </x:row>
    <x:row r="1326" ht="28" customHeight="1">
      <x:c r="A1326" s="2" t="str">
        <x:v>F1319</x:v>
      </x:c>
      <x:c r="B1326" s="50" t="n">
        <x:v>19</x:v>
      </x:c>
      <x:c r="C1326" s="2" t="str">
        <x:v>Event detail</x:v>
      </x:c>
      <x:c r="D1326" s="19" t="str">
        <x:v>C19E04 Kip: geometry.distance_m</x:v>
      </x:c>
      <x:c r="E1326" s="60" t="n">
        <x:v>13</x:v>
      </x:c>
      <x:c r="F1326" s="19" t="str">
        <x:v>Planned</x:v>
      </x:c>
    </x:row>
    <x:row r="1327" ht="32" customHeight="1">
      <x:c r="A1327" s="17" t="str">
        <x:v>F1320</x:v>
      </x:c>
      <x:c r="B1327" s="51" t="n">
        <x:v>19</x:v>
      </x:c>
      <x:c r="C1327" s="17" t="str">
        <x:v>Event detail</x:v>
      </x:c>
      <x:c r="D1327" s="20" t="str">
        <x:v>C19E04 Kip: geometry.prior_sight_distance_m</x:v>
      </x:c>
      <x:c r="E1327" s="61" t="n">
        <x:v>9</x:v>
      </x:c>
      <x:c r="F1327" s="20" t="str">
        <x:v>Planned</x:v>
      </x:c>
    </x:row>
    <x:row r="1328" ht="32" customHeight="1">
      <x:c r="A1328" s="2" t="str">
        <x:v>F1321</x:v>
      </x:c>
      <x:c r="B1328" s="50" t="n">
        <x:v>19</x:v>
      </x:c>
      <x:c r="C1328" s="2" t="str">
        <x:v>Event detail</x:v>
      </x:c>
      <x:c r="D1328" s="19" t="str">
        <x:v>C19E04 Kip: geometry.prior_sight_attention_seconds</x:v>
      </x:c>
      <x:c r="E1328" s="60" t="n">
        <x:v>1</x:v>
      </x:c>
      <x:c r="F1328" s="19" t="str">
        <x:v>Planned</x:v>
      </x:c>
    </x:row>
    <x:row r="1329" ht="28" customHeight="1">
      <x:c r="A1329" s="17" t="str">
        <x:v>F1322</x:v>
      </x:c>
      <x:c r="B1329" s="51" t="n">
        <x:v>19</x:v>
      </x:c>
      <x:c r="C1329" s="17" t="str">
        <x:v>Event detail</x:v>
      </x:c>
      <x:c r="D1329" s="20" t="str">
        <x:v>C19E04 Kip: geometry.visible_at_start</x:v>
      </x:c>
      <x:c r="E1329" s="59" t="b">
        <x:v>1</x:v>
      </x:c>
      <x:c r="F1329" s="20" t="str">
        <x:v>Planned</x:v>
      </x:c>
    </x:row>
    <x:row r="1330" ht="32" customHeight="1">
      <x:c r="A1330" s="2" t="str">
        <x:v>F1323</x:v>
      </x:c>
      <x:c r="B1330" s="50" t="n">
        <x:v>19</x:v>
      </x:c>
      <x:c r="C1330" s="2" t="str">
        <x:v>Event detail</x:v>
      </x:c>
      <x:c r="D1330" s="19" t="str">
        <x:v>C19E04 Kip: geometry.available_at_start</x:v>
      </x:c>
      <x:c r="E1330" s="58" t="b">
        <x:v>1</x:v>
      </x:c>
      <x:c r="F1330" s="19" t="str">
        <x:v>Planned</x:v>
      </x:c>
    </x:row>
    <x:row r="1331" ht="32" customHeight="1">
      <x:c r="A1331" s="17" t="str">
        <x:v>F1324</x:v>
      </x:c>
      <x:c r="B1331" s="51" t="n">
        <x:v>19</x:v>
      </x:c>
      <x:c r="C1331" s="17" t="str">
        <x:v>Event detail</x:v>
      </x:c>
      <x:c r="D1331" s="20" t="str">
        <x:v>C19E04 Kip: geometry.within_normal_mechanical_arc</x:v>
      </x:c>
      <x:c r="E1331" s="59" t="b">
        <x:v>1</x:v>
      </x:c>
      <x:c r="F1331" s="20" t="str">
        <x:v>Planned</x:v>
      </x:c>
    </x:row>
    <x:row r="1332" ht="28" customHeight="1">
      <x:c r="A1332" s="2" t="str">
        <x:v>F1325</x:v>
      </x:c>
      <x:c r="B1332" s="50" t="n">
        <x:v>19</x:v>
      </x:c>
      <x:c r="C1332" s="2" t="str">
        <x:v>Event detail</x:v>
      </x:c>
      <x:c r="D1332" s="19" t="str">
        <x:v>C19E04 Kip: geometry.ready_at_start</x:v>
      </x:c>
      <x:c r="E1332" s="58" t="b">
        <x:v>1</x:v>
      </x:c>
      <x:c r="F1332" s="19" t="str">
        <x:v>Planned</x:v>
      </x:c>
    </x:row>
    <x:row r="1333" ht="32" customHeight="1">
      <x:c r="A1333" s="17" t="str">
        <x:v>F1326</x:v>
      </x:c>
      <x:c r="B1333" s="51" t="n">
        <x:v>19</x:v>
      </x:c>
      <x:c r="C1333" s="17" t="str">
        <x:v>Event detail</x:v>
      </x:c>
      <x:c r="D1333" s="20" t="str">
        <x:v>C19E04 Kip: geometry.target_is_constructed_fixture</x:v>
      </x:c>
      <x:c r="E1333" s="59" t="b">
        <x:v>1</x:v>
      </x:c>
      <x:c r="F1333" s="20" t="str">
        <x:v>Planned</x:v>
      </x:c>
    </x:row>
    <x:row r="1334" ht="32" customHeight="1">
      <x:c r="A1334" s="2" t="str">
        <x:v>F1327</x:v>
      </x:c>
      <x:c r="B1334" s="50" t="n">
        <x:v>19</x:v>
      </x:c>
      <x:c r="C1334" s="2" t="str">
        <x:v>Event detail</x:v>
      </x:c>
      <x:c r="D1334" s="19" t="str">
        <x:v>C19E04 Kip: geometry.shield_removed_physically_if_any</x:v>
      </x:c>
      <x:c r="E1334" s="58" t="b">
        <x:v>1</x:v>
      </x:c>
      <x:c r="F1334" s="19" t="str">
        <x:v>Planned</x:v>
      </x:c>
    </x:row>
    <x:row r="1335" ht="28" customHeight="1">
      <x:c r="A1335" s="17" t="str">
        <x:v>F1328</x:v>
      </x:c>
      <x:c r="B1335" s="51" t="n">
        <x:v>19</x:v>
      </x:c>
      <x:c r="C1335" s="17" t="str">
        <x:v>Event detail</x:v>
      </x:c>
      <x:c r="D1335" s="20" t="str">
        <x:v>C19E04 Kip: outcome</x:v>
      </x:c>
      <x:c r="E1335" s="20" t="str">
        <x:v>ordinary legal fixture function, no strengthened output</x:v>
      </x:c>
      <x:c r="F1335" s="20" t="str">
        <x:v>Planned</x:v>
      </x:c>
    </x:row>
    <x:row r="1336" ht="28" customHeight="1">
      <x:c r="A1336" s="2" t="str">
        <x:v>F1329</x:v>
      </x:c>
      <x:c r="B1336" s="50" t="n">
        <x:v>19</x:v>
      </x:c>
      <x:c r="C1336" s="2" t="str">
        <x:v>Event detail</x:v>
      </x:c>
      <x:c r="D1336" s="19" t="str">
        <x:v>C19E05 Kip: target</x:v>
      </x:c>
      <x:c r="E1336" s="19" t="str">
        <x:v>boss fixture B</x:v>
      </x:c>
      <x:c r="F1336" s="19" t="str">
        <x:v>Planned</x:v>
      </x:c>
    </x:row>
    <x:row r="1337" ht="28" customHeight="1">
      <x:c r="A1337" s="17" t="str">
        <x:v>F1330</x:v>
      </x:c>
      <x:c r="B1337" s="51" t="n">
        <x:v>19</x:v>
      </x:c>
      <x:c r="C1337" s="17" t="str">
        <x:v>Event detail</x:v>
      </x:c>
      <x:c r="D1337" s="20" t="str">
        <x:v>C19E05 Kip: note</x:v>
      </x:c>
      <x:c r="E1337" s="20" t="str">
        <x:v>Separate previouslyinspected readyfixture; sameeligibilityrules.</x:v>
      </x:c>
      <x:c r="F1337" s="20" t="str">
        <x:v>Planned</x:v>
      </x:c>
    </x:row>
    <x:row r="1338" ht="28" customHeight="1">
      <x:c r="A1338" s="2" t="str">
        <x:v>F1331</x:v>
      </x:c>
      <x:c r="B1338" s="50" t="n">
        <x:v>19</x:v>
      </x:c>
      <x:c r="C1338" s="2" t="str">
        <x:v>Event detail</x:v>
      </x:c>
      <x:c r="D1338" s="19" t="str">
        <x:v>C19E05 Kip: control_seconds</x:v>
      </x:c>
      <x:c r="E1338" s="60" t="n">
        <x:v>1</x:v>
      </x:c>
      <x:c r="F1338" s="19" t="str">
        <x:v>Planned</x:v>
      </x:c>
    </x:row>
    <x:row r="1339" ht="28" customHeight="1">
      <x:c r="A1339" s="17" t="str">
        <x:v>F1332</x:v>
      </x:c>
      <x:c r="B1339" s="51" t="n">
        <x:v>19</x:v>
      </x:c>
      <x:c r="C1339" s="17" t="str">
        <x:v>Event detail</x:v>
      </x:c>
      <x:c r="D1339" s="20" t="str">
        <x:v>C19E05 Kip: geometry.distance_m</x:v>
      </x:c>
      <x:c r="E1339" s="61" t="n">
        <x:v>14</x:v>
      </x:c>
      <x:c r="F1339" s="20" t="str">
        <x:v>Planned</x:v>
      </x:c>
    </x:row>
    <x:row r="1340" ht="32" customHeight="1">
      <x:c r="A1340" s="2" t="str">
        <x:v>F1333</x:v>
      </x:c>
      <x:c r="B1340" s="50" t="n">
        <x:v>19</x:v>
      </x:c>
      <x:c r="C1340" s="2" t="str">
        <x:v>Event detail</x:v>
      </x:c>
      <x:c r="D1340" s="19" t="str">
        <x:v>C19E05 Kip: geometry.prior_sight_distance_m</x:v>
      </x:c>
      <x:c r="E1340" s="60" t="n">
        <x:v>9</x:v>
      </x:c>
      <x:c r="F1340" s="19" t="str">
        <x:v>Planned</x:v>
      </x:c>
    </x:row>
    <x:row r="1341" ht="32" customHeight="1">
      <x:c r="A1341" s="17" t="str">
        <x:v>F1334</x:v>
      </x:c>
      <x:c r="B1341" s="51" t="n">
        <x:v>19</x:v>
      </x:c>
      <x:c r="C1341" s="17" t="str">
        <x:v>Event detail</x:v>
      </x:c>
      <x:c r="D1341" s="20" t="str">
        <x:v>C19E05 Kip: geometry.prior_sight_attention_seconds</x:v>
      </x:c>
      <x:c r="E1341" s="61" t="n">
        <x:v>1</x:v>
      </x:c>
      <x:c r="F1341" s="20" t="str">
        <x:v>Planned</x:v>
      </x:c>
    </x:row>
    <x:row r="1342" ht="28" customHeight="1">
      <x:c r="A1342" s="2" t="str">
        <x:v>F1335</x:v>
      </x:c>
      <x:c r="B1342" s="50" t="n">
        <x:v>19</x:v>
      </x:c>
      <x:c r="C1342" s="2" t="str">
        <x:v>Event detail</x:v>
      </x:c>
      <x:c r="D1342" s="19" t="str">
        <x:v>C19E05 Kip: geometry.visible_at_start</x:v>
      </x:c>
      <x:c r="E1342" s="58" t="b">
        <x:v>1</x:v>
      </x:c>
      <x:c r="F1342" s="19" t="str">
        <x:v>Planned</x:v>
      </x:c>
    </x:row>
    <x:row r="1343" ht="32" customHeight="1">
      <x:c r="A1343" s="17" t="str">
        <x:v>F1336</x:v>
      </x:c>
      <x:c r="B1343" s="51" t="n">
        <x:v>19</x:v>
      </x:c>
      <x:c r="C1343" s="17" t="str">
        <x:v>Event detail</x:v>
      </x:c>
      <x:c r="D1343" s="20" t="str">
        <x:v>C19E05 Kip: geometry.available_at_start</x:v>
      </x:c>
      <x:c r="E1343" s="59" t="b">
        <x:v>1</x:v>
      </x:c>
      <x:c r="F1343" s="20" t="str">
        <x:v>Planned</x:v>
      </x:c>
    </x:row>
    <x:row r="1344" ht="32" customHeight="1">
      <x:c r="A1344" s="2" t="str">
        <x:v>F1337</x:v>
      </x:c>
      <x:c r="B1344" s="50" t="n">
        <x:v>19</x:v>
      </x:c>
      <x:c r="C1344" s="2" t="str">
        <x:v>Event detail</x:v>
      </x:c>
      <x:c r="D1344" s="19" t="str">
        <x:v>C19E05 Kip: geometry.within_normal_mechanical_arc</x:v>
      </x:c>
      <x:c r="E1344" s="58" t="b">
        <x:v>1</x:v>
      </x:c>
      <x:c r="F1344" s="19" t="str">
        <x:v>Planned</x:v>
      </x:c>
    </x:row>
    <x:row r="1345" ht="28" customHeight="1">
      <x:c r="A1345" s="17" t="str">
        <x:v>F1338</x:v>
      </x:c>
      <x:c r="B1345" s="51" t="n">
        <x:v>19</x:v>
      </x:c>
      <x:c r="C1345" s="17" t="str">
        <x:v>Event detail</x:v>
      </x:c>
      <x:c r="D1345" s="20" t="str">
        <x:v>C19E05 Kip: geometry.ready_at_start</x:v>
      </x:c>
      <x:c r="E1345" s="59" t="b">
        <x:v>1</x:v>
      </x:c>
      <x:c r="F1345" s="20" t="str">
        <x:v>Planned</x:v>
      </x:c>
    </x:row>
    <x:row r="1346" ht="32" customHeight="1">
      <x:c r="A1346" s="2" t="str">
        <x:v>F1339</x:v>
      </x:c>
      <x:c r="B1346" s="50" t="n">
        <x:v>19</x:v>
      </x:c>
      <x:c r="C1346" s="2" t="str">
        <x:v>Event detail</x:v>
      </x:c>
      <x:c r="D1346" s="19" t="str">
        <x:v>C19E05 Kip: geometry.target_is_constructed_fixture</x:v>
      </x:c>
      <x:c r="E1346" s="58" t="b">
        <x:v>1</x:v>
      </x:c>
      <x:c r="F1346" s="19" t="str">
        <x:v>Planned</x:v>
      </x:c>
    </x:row>
    <x:row r="1347" ht="32" customHeight="1">
      <x:c r="A1347" s="17" t="str">
        <x:v>F1340</x:v>
      </x:c>
      <x:c r="B1347" s="51" t="n">
        <x:v>19</x:v>
      </x:c>
      <x:c r="C1347" s="17" t="str">
        <x:v>Event detail</x:v>
      </x:c>
      <x:c r="D1347" s="20" t="str">
        <x:v>C19E05 Kip: geometry.shield_removed_physically_if_any</x:v>
      </x:c>
      <x:c r="E1347" s="59" t="b">
        <x:v>1</x:v>
      </x:c>
      <x:c r="F1347" s="20" t="str">
        <x:v>Planned</x:v>
      </x:c>
    </x:row>
    <x:row r="1348" ht="28" customHeight="1">
      <x:c r="A1348" s="2" t="str">
        <x:v>F1341</x:v>
      </x:c>
      <x:c r="B1348" s="50" t="n">
        <x:v>19</x:v>
      </x:c>
      <x:c r="C1348" s="2" t="str">
        <x:v>Event detail</x:v>
      </x:c>
      <x:c r="D1348" s="19" t="str">
        <x:v>C19E05 Kip: outcome</x:v>
      </x:c>
      <x:c r="E1348" s="19" t="str">
        <x:v>ordinary legal fixture function, no strengthened output</x:v>
      </x:c>
      <x:c r="F1348" s="19" t="str">
        <x:v>Planned</x:v>
      </x:c>
    </x:row>
    <x:row r="1349" ht="28" customHeight="1">
      <x:c r="A1349" s="17" t="str">
        <x:v>F1342</x:v>
      </x:c>
      <x:c r="B1349" s="51" t="n">
        <x:v>19</x:v>
      </x:c>
      <x:c r="C1349" s="17" t="str">
        <x:v>Event detail</x:v>
      </x:c>
      <x:c r="D1349" s="20" t="str">
        <x:v>C19E06 Kip: target</x:v>
      </x:c>
      <x:c r="E1349" s="20" t="str">
        <x:v>boss second strike lane</x:v>
      </x:c>
      <x:c r="F1349" s="20" t="str">
        <x:v>Planned</x:v>
      </x:c>
    </x:row>
    <x:row r="1350" ht="28" customHeight="1">
      <x:c r="A1350" s="2" t="str">
        <x:v>F1343</x:v>
      </x:c>
      <x:c r="B1350" s="50" t="n">
        <x:v>19</x:v>
      </x:c>
      <x:c r="C1350" s="2" t="str">
        <x:v>Event detail</x:v>
      </x:c>
      <x:c r="D1350" s="19" t="str">
        <x:v>C19E06 Kip: note</x:v>
      </x:c>
      <x:c r="E1350" s="19" t="str">
        <x:v>Forms14sec; realimpact29sec usesRank2 twenty-secondlifetime; onlyoneimpacthalf.</x:v>
      </x:c>
      <x:c r="F1350" s="19" t="str">
        <x:v>Planned</x:v>
      </x:c>
    </x:row>
    <x:row r="1351" ht="28" customHeight="1">
      <x:c r="A1351" s="17" t="str">
        <x:v>F1344</x:v>
      </x:c>
      <x:c r="B1351" s="51" t="n">
        <x:v>19</x:v>
      </x:c>
      <x:c r="C1351" s="17" t="str">
        <x:v>Event detail</x:v>
      </x:c>
      <x:c r="D1351" s="20" t="str">
        <x:v>C19E06 Kip: setup_seconds</x:v>
      </x:c>
      <x:c r="E1351" s="61" t="n">
        <x:v>2</x:v>
      </x:c>
      <x:c r="F1351" s="20" t="str">
        <x:v>Planned</x:v>
      </x:c>
    </x:row>
    <x:row r="1352" ht="32" customHeight="1">
      <x:c r="A1352" s="2" t="str">
        <x:v>F1345</x:v>
      </x:c>
      <x:c r="B1352" s="50" t="n">
        <x:v>19</x:v>
      </x:c>
      <x:c r="C1352" s="2" t="str">
        <x:v>Event detail</x:v>
      </x:c>
      <x:c r="D1352" s="19" t="str">
        <x:v>C19E06 Kip: physical_impact_seconds_after_start</x:v>
      </x:c>
      <x:c r="E1352" s="60" t="n">
        <x:v>17</x:v>
      </x:c>
      <x:c r="F1352" s="19" t="str">
        <x:v>Planned</x:v>
      </x:c>
    </x:row>
    <x:row r="1353" ht="28" customHeight="1">
      <x:c r="A1353" s="17" t="str">
        <x:v>F1346</x:v>
      </x:c>
      <x:c r="B1353" s="51" t="n">
        <x:v>19</x:v>
      </x:c>
      <x:c r="C1353" s="17" t="str">
        <x:v>Event detail</x:v>
      </x:c>
      <x:c r="D1353" s="20" t="str">
        <x:v>C19E06 Kip: geometry.clear_ground</x:v>
      </x:c>
      <x:c r="E1353" s="59" t="b">
        <x:v>1</x:v>
      </x:c>
      <x:c r="F1353" s="20" t="str">
        <x:v>Planned</x:v>
      </x:c>
    </x:row>
    <x:row r="1354" ht="28" customHeight="1">
      <x:c r="A1354" s="2" t="str">
        <x:v>F1347</x:v>
      </x:c>
      <x:c r="B1354" s="50" t="n">
        <x:v>19</x:v>
      </x:c>
      <x:c r="C1354" s="2" t="str">
        <x:v>Event detail</x:v>
      </x:c>
      <x:c r="D1354" s="19" t="str">
        <x:v>C19E06 Kip: geometry.within_3m</x:v>
      </x:c>
      <x:c r="E1354" s="58" t="b">
        <x:v>1</x:v>
      </x:c>
      <x:c r="F1354" s="19" t="str">
        <x:v>Planned</x:v>
      </x:c>
    </x:row>
    <x:row r="1355" ht="28" customHeight="1">
      <x:c r="A1355" s="17" t="str">
        <x:v>F1348</x:v>
      </x:c>
      <x:c r="B1355" s="51" t="n">
        <x:v>19</x:v>
      </x:c>
      <x:c r="C1355" s="17" t="str">
        <x:v>Event detail</x:v>
      </x:c>
      <x:c r="D1355" s="20" t="str">
        <x:v>C19E06 Kip: geometry.upright_2m_square</x:v>
      </x:c>
      <x:c r="E1355" s="59" t="b">
        <x:v>1</x:v>
      </x:c>
      <x:c r="F1355" s="20" t="str">
        <x:v>Planned</x:v>
      </x:c>
    </x:row>
    <x:row r="1356" ht="28" customHeight="1">
      <x:c r="A1356" s="2" t="str">
        <x:v>F1349</x:v>
      </x:c>
      <x:c r="B1356" s="50" t="n">
        <x:v>19</x:v>
      </x:c>
      <x:c r="C1356" s="2" t="str">
        <x:v>Event detail</x:v>
      </x:c>
      <x:c r="D1356" s="19" t="str">
        <x:v>C19E06 Kip: geometry.stationary</x:v>
      </x:c>
      <x:c r="E1356" s="58" t="b">
        <x:v>1</x:v>
      </x:c>
      <x:c r="F1356" s="19" t="str">
        <x:v>Planned</x:v>
      </x:c>
    </x:row>
    <x:row r="1357" ht="32" customHeight="1">
      <x:c r="A1357" s="17" t="str">
        <x:v>F1350</x:v>
      </x:c>
      <x:c r="B1357" s="51" t="n">
        <x:v>19</x:v>
      </x:c>
      <x:c r="C1357" s="17" t="str">
        <x:v>Event detail</x:v>
      </x:c>
      <x:c r="D1357" s="20" t="str">
        <x:v>C19E06 Kip: geometry.physical_impact_crosses_front</x:v>
      </x:c>
      <x:c r="E1357" s="59" t="b">
        <x:v>1</x:v>
      </x:c>
      <x:c r="F1357" s="20" t="str">
        <x:v>Planned</x:v>
      </x:c>
    </x:row>
    <x:row r="1358" ht="32" customHeight="1">
      <x:c r="A1358" s="2" t="str">
        <x:v>F1351</x:v>
      </x:c>
      <x:c r="B1358" s="50" t="n">
        <x:v>19</x:v>
      </x:c>
      <x:c r="C1358" s="2" t="str">
        <x:v>Event detail</x:v>
      </x:c>
      <x:c r="D1358" s="19" t="str">
        <x:v>C19E06 Kip: geometry.blocks_heat_or_water</x:v>
      </x:c>
      <x:c r="E1358" s="58" t="b">
        <x:v>0</x:v>
      </x:c>
      <x:c r="F1358" s="19" t="str">
        <x:v>Planned</x:v>
      </x:c>
    </x:row>
    <x:row r="1359" ht="28" customHeight="1">
      <x:c r="A1359" s="17" t="str">
        <x:v>F1352</x:v>
      </x:c>
      <x:c r="B1359" s="51" t="n">
        <x:v>19</x:v>
      </x:c>
      <x:c r="C1359" s="17" t="str">
        <x:v>Event detail</x:v>
      </x:c>
      <x:c r="D1359" s="20" t="str">
        <x:v>C19E07 Owen: target</x:v>
      </x:c>
      <x:c r="E1359" s="20" t="str">
        <x:v>Dane new 8cm/0.5cm right forearm cut</x:v>
      </x:c>
      <x:c r="F1359" s="20" t="str">
        <x:v>Planned</x:v>
      </x:c>
    </x:row>
    <x:row r="1360" ht="32" customHeight="1">
      <x:c r="A1360" s="2" t="str">
        <x:v>F1353</x:v>
      </x:c>
      <x:c r="B1360" s="50" t="n">
        <x:v>19</x:v>
      </x:c>
      <x:c r="C1360" s="2" t="str">
        <x:v>Event detail</x:v>
      </x:c>
      <x:c r="D1360" s="19" t="str">
        <x:v>C19E07 Owen: note</x:v>
      </x:c>
      <x:c r="E1360" s="19" t="str">
        <x:v>Five seconds uninterrupted contact at17–22sec; Dane does not block or cast during this interval. Seal lasts after contact; left wrist not repaired.</x:v>
      </x:c>
      <x:c r="F1360" s="19" t="str">
        <x:v>Planned</x:v>
      </x:c>
    </x:row>
    <x:row r="1361" ht="28" customHeight="1">
      <x:c r="A1361" s="17" t="str">
        <x:v>F1354</x:v>
      </x:c>
      <x:c r="B1361" s="51" t="n">
        <x:v>19</x:v>
      </x:c>
      <x:c r="C1361" s="17" t="str">
        <x:v>Event detail</x:v>
      </x:c>
      <x:c r="D1361" s="20" t="str">
        <x:v>C19E07 Owen: geometry.wound_length_cm</x:v>
      </x:c>
      <x:c r="E1361" s="61" t="n">
        <x:v>8</x:v>
      </x:c>
      <x:c r="F1361" s="20" t="str">
        <x:v>Planned</x:v>
      </x:c>
    </x:row>
    <x:row r="1362" ht="28" customHeight="1">
      <x:c r="A1362" s="2" t="str">
        <x:v>F1355</x:v>
      </x:c>
      <x:c r="B1362" s="50" t="n">
        <x:v>19</x:v>
      </x:c>
      <x:c r="C1362" s="2" t="str">
        <x:v>Event detail</x:v>
      </x:c>
      <x:c r="D1362" s="19" t="str">
        <x:v>C19E07 Owen: geometry.wound_depth_cm</x:v>
      </x:c>
      <x:c r="E1362" s="63" t="n">
        <x:v>0.5</x:v>
      </x:c>
      <x:c r="F1362" s="19" t="str">
        <x:v>Planned</x:v>
      </x:c>
    </x:row>
    <x:row r="1363" ht="28" customHeight="1">
      <x:c r="A1363" s="17" t="str">
        <x:v>F1356</x:v>
      </x:c>
      <x:c r="B1363" s="51" t="n">
        <x:v>19</x:v>
      </x:c>
      <x:c r="C1363" s="17" t="str">
        <x:v>Event detail</x:v>
      </x:c>
      <x:c r="D1363" s="20" t="str">
        <x:v>C19E07 Owen: geometry.external_wound</x:v>
      </x:c>
      <x:c r="E1363" s="59" t="b">
        <x:v>1</x:v>
      </x:c>
      <x:c r="F1363" s="20" t="str">
        <x:v>Planned</x:v>
      </x:c>
    </x:row>
    <x:row r="1364" ht="32" customHeight="1">
      <x:c r="A1364" s="2" t="str">
        <x:v>F1357</x:v>
      </x:c>
      <x:c r="B1364" s="50" t="n">
        <x:v>19</x:v>
      </x:c>
      <x:c r="C1364" s="2" t="str">
        <x:v>Event detail</x:v>
      </x:c>
      <x:c r="D1364" s="19" t="str">
        <x:v>C19E07 Owen: geometry.tissue_present_and_aligned</x:v>
      </x:c>
      <x:c r="E1364" s="58" t="b">
        <x:v>1</x:v>
      </x:c>
      <x:c r="F1364" s="19" t="str">
        <x:v>Planned</x:v>
      </x:c>
    </x:row>
    <x:row r="1365" ht="32" customHeight="1">
      <x:c r="A1365" s="17" t="str">
        <x:v>F1358</x:v>
      </x:c>
      <x:c r="B1365" s="51" t="n">
        <x:v>19</x:v>
      </x:c>
      <x:c r="C1365" s="17" t="str">
        <x:v>Event detail</x:v>
      </x:c>
      <x:c r="D1365" s="20" t="str">
        <x:v>C19E07 Owen: geometry.uninterrupted_touch_seconds</x:v>
      </x:c>
      <x:c r="E1365" s="61" t="n">
        <x:v>5</x:v>
      </x:c>
      <x:c r="F1365" s="20" t="str">
        <x:v>Planned</x:v>
      </x:c>
    </x:row>
    <x:row r="1366" ht="32" customHeight="1">
      <x:c r="A1366" s="2" t="str">
        <x:v>F1359</x:v>
      </x:c>
      <x:c r="B1366" s="50" t="n">
        <x:v>19</x:v>
      </x:c>
      <x:c r="C1366" s="2" t="str">
        <x:v>Event detail</x:v>
      </x:c>
      <x:c r="D1366" s="19" t="str">
        <x:v>C19E07 Owen: geometry.repairs_bone_blood_organs_or_nerves</x:v>
      </x:c>
      <x:c r="E1366" s="58" t="b">
        <x:v>0</x:v>
      </x:c>
      <x:c r="F1366" s="19" t="str">
        <x:v>Planned</x:v>
      </x:c>
    </x:row>
    <x:row r="1367" ht="32" customHeight="1">
      <x:c r="A1367" s="17" t="str">
        <x:v>F1360</x:v>
      </x:c>
      <x:c r="B1367" s="51" t="n">
        <x:v>19</x:v>
      </x:c>
      <x:c r="C1367" s="17" t="str">
        <x:v>Event detail</x:v>
      </x:c>
      <x:c r="D1367" s="20" t="str">
        <x:v>C19E07 Owen: geometry.protected_position_for_channel_required_in_prose</x:v>
      </x:c>
      <x:c r="E1367" s="59" t="b">
        <x:v>1</x:v>
      </x:c>
      <x:c r="F1367" s="20" t="str">
        <x:v>Planned</x:v>
      </x:c>
    </x:row>
    <x:row r="1368" ht="28" customHeight="1">
      <x:c r="A1368" s="2" t="str">
        <x:v>F1361</x:v>
      </x:c>
      <x:c r="B1368" s="50" t="n">
        <x:v>19</x:v>
      </x:c>
      <x:c r="C1368" s="2" t="str">
        <x:v>Event detail</x:v>
      </x:c>
      <x:c r="D1368" s="19" t="str">
        <x:v>C19E08 Tessa: target</x:v>
      </x:c>
      <x:c r="E1368" s="19" t="str">
        <x:v>secondclearflankroute</x:v>
      </x:c>
      <x:c r="F1368" s="19" t="str">
        <x:v>Planned</x:v>
      </x:c>
    </x:row>
    <x:row r="1369" ht="28" customHeight="1">
      <x:c r="A1369" s="17" t="str">
        <x:v>F1362</x:v>
      </x:c>
      <x:c r="B1369" s="51" t="n">
        <x:v>19</x:v>
      </x:c>
      <x:c r="C1369" s="17" t="str">
        <x:v>Event detail</x:v>
      </x:c>
      <x:c r="D1369" s="20" t="str">
        <x:v>C19E08 Tessa: note</x:v>
      </x:c>
      <x:c r="E1369" s="20" t="str">
        <x:v>18secgap&gt;=15secCD; nocarryinganotheradult.</x:v>
      </x:c>
      <x:c r="F1369" s="20" t="str">
        <x:v>Planned</x:v>
      </x:c>
    </x:row>
    <x:row r="1370" ht="28" customHeight="1">
      <x:c r="A1370" s="2" t="str">
        <x:v>F1363</x:v>
      </x:c>
      <x:c r="B1370" s="50" t="n">
        <x:v>19</x:v>
      </x:c>
      <x:c r="C1370" s="2" t="str">
        <x:v>Event detail</x:v>
      </x:c>
      <x:c r="D1370" s="19" t="str">
        <x:v>C19E08 Tessa: geometry.path_length_m</x:v>
      </x:c>
      <x:c r="E1370" s="60" t="n">
        <x:v>8</x:v>
      </x:c>
      <x:c r="F1370" s="19" t="str">
        <x:v>Planned</x:v>
      </x:c>
    </x:row>
    <x:row r="1371" ht="32" customHeight="1">
      <x:c r="A1371" s="17" t="str">
        <x:v>F1364</x:v>
      </x:c>
      <x:c r="B1371" s="51" t="n">
        <x:v>19</x:v>
      </x:c>
      <x:c r="C1371" s="17" t="str">
        <x:v>Event detail</x:v>
      </x:c>
      <x:c r="D1371" s="20" t="str">
        <x:v>C19E08 Tessa: geometry.visible_traversable_physical_path</x:v>
      </x:c>
      <x:c r="E1371" s="59" t="b">
        <x:v>1</x:v>
      </x:c>
      <x:c r="F1371" s="20" t="str">
        <x:v>Planned</x:v>
      </x:c>
    </x:row>
    <x:row r="1372" ht="32" customHeight="1">
      <x:c r="A1372" s="2" t="str">
        <x:v>F1365</x:v>
      </x:c>
      <x:c r="B1372" s="50" t="n">
        <x:v>19</x:v>
      </x:c>
      <x:c r="C1372" s="2" t="str">
        <x:v>Event detail</x:v>
      </x:c>
      <x:c r="D1372" s="19" t="str">
        <x:v>C19E08 Tessa: geometry.passes_through_creature_wall_or_restraint</x:v>
      </x:c>
      <x:c r="E1372" s="58" t="b">
        <x:v>0</x:v>
      </x:c>
      <x:c r="F1372" s="19" t="str">
        <x:v>Planned</x:v>
      </x:c>
    </x:row>
    <x:row r="1373" ht="32" customHeight="1">
      <x:c r="A1373" s="17" t="str">
        <x:v>F1366</x:v>
      </x:c>
      <x:c r="B1373" s="51" t="n">
        <x:v>19</x:v>
      </x:c>
      <x:c r="C1373" s="17" t="str">
        <x:v>Event detail</x:v>
      </x:c>
      <x:c r="D1373" s="20" t="str">
        <x:v>C19E08 Tessa: geometry.carries_another_adult</x:v>
      </x:c>
      <x:c r="E1373" s="59" t="b">
        <x:v>0</x:v>
      </x:c>
      <x:c r="F1373" s="20" t="str">
        <x:v>Planned</x:v>
      </x:c>
    </x:row>
    <x:row r="1374" ht="32" customHeight="1">
      <x:c r="A1374" s="2" t="str">
        <x:v>F1367</x:v>
      </x:c>
      <x:c r="B1374" s="50" t="n">
        <x:v>19</x:v>
      </x:c>
      <x:c r="C1374" s="2" t="str">
        <x:v>Event detail</x:v>
      </x:c>
      <x:c r="D1374" s="19" t="str">
        <x:v>C19E08 Tessa: geometry.crosses_otherwise_impossible_gap</x:v>
      </x:c>
      <x:c r="E1374" s="58" t="b">
        <x:v>0</x:v>
      </x:c>
      <x:c r="F1374" s="19" t="str">
        <x:v>Planned</x:v>
      </x:c>
    </x:row>
    <x:row r="1375" ht="32" customHeight="1">
      <x:c r="A1375" s="17" t="str">
        <x:v>F1368</x:v>
      </x:c>
      <x:c r="B1375" s="51" t="n">
        <x:v>19</x:v>
      </x:c>
      <x:c r="C1375" s="17" t="str">
        <x:v>Event detail</x:v>
      </x:c>
      <x:c r="D1375" s="20" t="str">
        <x:v>C19E08 Tessa: geometry.hazard_immunity_assumed</x:v>
      </x:c>
      <x:c r="E1375" s="59" t="b">
        <x:v>0</x:v>
      </x:c>
      <x:c r="F1375" s="20" t="str">
        <x:v>Planned</x:v>
      </x:c>
    </x:row>
    <x:row r="1376" ht="28" customHeight="1">
      <x:c r="A1376" s="2" t="str">
        <x:v>F1369</x:v>
      </x:c>
      <x:c r="B1376" s="50" t="n">
        <x:v>19</x:v>
      </x:c>
      <x:c r="C1376" s="2" t="str">
        <x:v>Event detail</x:v>
      </x:c>
      <x:c r="D1376" s="19" t="str">
        <x:v>C19E09 Dane: target</x:v>
      </x:c>
      <x:c r="E1376" s="19" t="str">
        <x:v>frontofsecondWardlane</x:v>
      </x:c>
      <x:c r="F1376" s="19" t="str">
        <x:v>Planned</x:v>
      </x:c>
    </x:row>
    <x:row r="1377" ht="32" customHeight="1">
      <x:c r="A1377" s="17" t="str">
        <x:v>F1370</x:v>
      </x:c>
      <x:c r="B1377" s="51" t="n">
        <x:v>19</x:v>
      </x:c>
      <x:c r="C1377" s="17" t="str">
        <x:v>Event detail</x:v>
      </x:c>
      <x:c r="D1377" s="20" t="str">
        <x:v>C19E09 Dane: note</x:v>
      </x:c>
      <x:c r="E1377" s="20" t="str">
        <x:v>Interposeended; effect22–30sec, impact29sec crossesbothpanels. Half×half=quarterphysicalforce, stillinjurious.</x:v>
      </x:c>
      <x:c r="F1377" s="20" t="str">
        <x:v>Planned</x:v>
      </x:c>
    </x:row>
    <x:row r="1378" ht="32" customHeight="1">
      <x:c r="A1378" s="2" t="str">
        <x:v>F1371</x:v>
      </x:c>
      <x:c r="B1378" s="50" t="n">
        <x:v>19</x:v>
      </x:c>
      <x:c r="C1378" s="2" t="str">
        <x:v>Event detail</x:v>
      </x:c>
      <x:c r="D1378" s="19" t="str">
        <x:v>C19E09 Dane: geometry.weapon_raised_in_right_hand</x:v>
      </x:c>
      <x:c r="E1378" s="58" t="b">
        <x:v>1</x:v>
      </x:c>
      <x:c r="F1378" s="19" t="str">
        <x:v>Planned</x:v>
      </x:c>
    </x:row>
    <x:row r="1379" ht="28" customHeight="1">
      <x:c r="A1379" s="17" t="str">
        <x:v>F1372</x:v>
      </x:c>
      <x:c r="B1379" s="51" t="n">
        <x:v>19</x:v>
      </x:c>
      <x:c r="C1379" s="17" t="str">
        <x:v>Event detail</x:v>
      </x:c>
      <x:c r="D1379" s="20" t="str">
        <x:v>C19E09 Dane: geometry.effect_seconds</x:v>
      </x:c>
      <x:c r="E1379" s="61" t="n">
        <x:v>8</x:v>
      </x:c>
      <x:c r="F1379" s="20" t="str">
        <x:v>Planned</x:v>
      </x:c>
    </x:row>
    <x:row r="1380" ht="32" customHeight="1">
      <x:c r="A1380" s="2" t="str">
        <x:v>F1373</x:v>
      </x:c>
      <x:c r="B1380" s="50" t="n">
        <x:v>19</x:v>
      </x:c>
      <x:c r="C1380" s="2" t="str">
        <x:v>Event detail</x:v>
      </x:c>
      <x:c r="D1380" s="19" t="str">
        <x:v>C19E09 Dane: geometry.physical_attack_crosses_front</x:v>
      </x:c>
      <x:c r="E1380" s="58" t="b">
        <x:v>1</x:v>
      </x:c>
      <x:c r="F1380" s="19" t="str">
        <x:v>Planned</x:v>
      </x:c>
    </x:row>
    <x:row r="1381" ht="32" customHeight="1">
      <x:c r="A1381" s="17" t="str">
        <x:v>F1374</x:v>
      </x:c>
      <x:c r="B1381" s="51" t="n">
        <x:v>19</x:v>
      </x:c>
      <x:c r="C1381" s="17" t="str">
        <x:v>Event detail</x:v>
      </x:c>
      <x:c r="D1381" s="20" t="str">
        <x:v>C19E09 Dane: geometry.runs_or_attacks_during_effect</x:v>
      </x:c>
      <x:c r="E1381" s="59" t="b">
        <x:v>0</x:v>
      </x:c>
      <x:c r="F1381" s="20" t="str">
        <x:v>Planned</x:v>
      </x:c>
    </x:row>
    <x:row r="1382" ht="32" customHeight="1">
      <x:c r="A1382" s="2" t="str">
        <x:v>F1375</x:v>
      </x:c>
      <x:c r="B1382" s="50" t="n">
        <x:v>19</x:v>
      </x:c>
      <x:c r="C1382" s="2" t="str">
        <x:v>Event detail</x:v>
      </x:c>
      <x:c r="D1382" s="19" t="str">
        <x:v>C19E09 Dane: geometry.blocks_heat_poison_or_suffocation</x:v>
      </x:c>
      <x:c r="E1382" s="58" t="b">
        <x:v>0</x:v>
      </x:c>
      <x:c r="F1382" s="19" t="str">
        <x:v>Planned</x:v>
      </x:c>
    </x:row>
    <x:row r="1383" ht="32" customHeight="1">
      <x:c r="A1383" s="17" t="str">
        <x:v>F1376</x:v>
      </x:c>
      <x:c r="B1383" s="51" t="n">
        <x:v>19</x:v>
      </x:c>
      <x:c r="C1383" s="17" t="str">
        <x:v>Event detail</x:v>
      </x:c>
      <x:c r="D1383" s="20" t="str">
        <x:v>C19E09 Dane: geometry.reduced_force_still_can_hurt</x:v>
      </x:c>
      <x:c r="E1383" s="59" t="b">
        <x:v>1</x:v>
      </x:c>
      <x:c r="F1383" s="20" t="str">
        <x:v>Planned</x:v>
      </x:c>
    </x:row>
    <x:row r="1384" ht="28" customHeight="1">
      <x:c r="A1384" s="2" t="str">
        <x:v>F1377</x:v>
      </x:c>
      <x:c r="B1384" s="50" t="n">
        <x:v>19</x:v>
      </x:c>
      <x:c r="C1384" s="2" t="str">
        <x:v>Event detail</x:v>
      </x:c>
      <x:c r="D1384" s="19" t="str">
        <x:v>C19E10 Kip: target</x:v>
      </x:c>
      <x:c r="E1384" s="19" t="str">
        <x:v>boss fixture C</x:v>
      </x:c>
      <x:c r="F1384" s="19" t="str">
        <x:v>Planned</x:v>
      </x:c>
    </x:row>
    <x:row r="1385" ht="28" customHeight="1">
      <x:c r="A1385" s="17" t="str">
        <x:v>F1378</x:v>
      </x:c>
      <x:c r="B1385" s="51" t="n">
        <x:v>19</x:v>
      </x:c>
      <x:c r="C1385" s="17" t="str">
        <x:v>Event detail</x:v>
      </x:c>
      <x:c r="D1385" s="20" t="str">
        <x:v>C19E10 Kip: note</x:v>
      </x:c>
      <x:c r="E1385" s="20" t="str">
        <x:v>Separate inspectedfixture; finalphysicalstrike at29sec afterRavelrefusesstop; noOverrideofbody/core.</x:v>
      </x:c>
      <x:c r="F1385" s="20" t="str">
        <x:v>Planned</x:v>
      </x:c>
    </x:row>
    <x:row r="1386" ht="28" customHeight="1">
      <x:c r="A1386" s="2" t="str">
        <x:v>F1379</x:v>
      </x:c>
      <x:c r="B1386" s="50" t="n">
        <x:v>19</x:v>
      </x:c>
      <x:c r="C1386" s="2" t="str">
        <x:v>Event detail</x:v>
      </x:c>
      <x:c r="D1386" s="19" t="str">
        <x:v>C19E10 Kip: control_seconds</x:v>
      </x:c>
      <x:c r="E1386" s="60" t="n">
        <x:v>1</x:v>
      </x:c>
      <x:c r="F1386" s="19" t="str">
        <x:v>Planned</x:v>
      </x:c>
    </x:row>
    <x:row r="1387" ht="28" customHeight="1">
      <x:c r="A1387" s="17" t="str">
        <x:v>F1380</x:v>
      </x:c>
      <x:c r="B1387" s="51" t="n">
        <x:v>19</x:v>
      </x:c>
      <x:c r="C1387" s="17" t="str">
        <x:v>Event detail</x:v>
      </x:c>
      <x:c r="D1387" s="20" t="str">
        <x:v>C19E10 Kip: geometry.distance_m</x:v>
      </x:c>
      <x:c r="E1387" s="62" t="n">
        <x:v>11.5</x:v>
      </x:c>
      <x:c r="F1387" s="20" t="str">
        <x:v>Planned</x:v>
      </x:c>
    </x:row>
    <x:row r="1388" ht="32" customHeight="1">
      <x:c r="A1388" s="2" t="str">
        <x:v>F1381</x:v>
      </x:c>
      <x:c r="B1388" s="50" t="n">
        <x:v>19</x:v>
      </x:c>
      <x:c r="C1388" s="2" t="str">
        <x:v>Event detail</x:v>
      </x:c>
      <x:c r="D1388" s="19" t="str">
        <x:v>C19E10 Kip: geometry.prior_sight_distance_m</x:v>
      </x:c>
      <x:c r="E1388" s="60" t="n">
        <x:v>9</x:v>
      </x:c>
      <x:c r="F1388" s="19" t="str">
        <x:v>Planned</x:v>
      </x:c>
    </x:row>
    <x:row r="1389" ht="32" customHeight="1">
      <x:c r="A1389" s="17" t="str">
        <x:v>F1382</x:v>
      </x:c>
      <x:c r="B1389" s="51" t="n">
        <x:v>19</x:v>
      </x:c>
      <x:c r="C1389" s="17" t="str">
        <x:v>Event detail</x:v>
      </x:c>
      <x:c r="D1389" s="20" t="str">
        <x:v>C19E10 Kip: geometry.prior_sight_attention_seconds</x:v>
      </x:c>
      <x:c r="E1389" s="61" t="n">
        <x:v>1</x:v>
      </x:c>
      <x:c r="F1389" s="20" t="str">
        <x:v>Planned</x:v>
      </x:c>
    </x:row>
    <x:row r="1390" ht="28" customHeight="1">
      <x:c r="A1390" s="2" t="str">
        <x:v>F1383</x:v>
      </x:c>
      <x:c r="B1390" s="50" t="n">
        <x:v>19</x:v>
      </x:c>
      <x:c r="C1390" s="2" t="str">
        <x:v>Event detail</x:v>
      </x:c>
      <x:c r="D1390" s="19" t="str">
        <x:v>C19E10 Kip: geometry.visible_at_start</x:v>
      </x:c>
      <x:c r="E1390" s="58" t="b">
        <x:v>1</x:v>
      </x:c>
      <x:c r="F1390" s="19" t="str">
        <x:v>Planned</x:v>
      </x:c>
    </x:row>
    <x:row r="1391" ht="32" customHeight="1">
      <x:c r="A1391" s="17" t="str">
        <x:v>F1384</x:v>
      </x:c>
      <x:c r="B1391" s="51" t="n">
        <x:v>19</x:v>
      </x:c>
      <x:c r="C1391" s="17" t="str">
        <x:v>Event detail</x:v>
      </x:c>
      <x:c r="D1391" s="20" t="str">
        <x:v>C19E10 Kip: geometry.available_at_start</x:v>
      </x:c>
      <x:c r="E1391" s="59" t="b">
        <x:v>1</x:v>
      </x:c>
      <x:c r="F1391" s="20" t="str">
        <x:v>Planned</x:v>
      </x:c>
    </x:row>
    <x:row r="1392" ht="32" customHeight="1">
      <x:c r="A1392" s="2" t="str">
        <x:v>F1385</x:v>
      </x:c>
      <x:c r="B1392" s="50" t="n">
        <x:v>19</x:v>
      </x:c>
      <x:c r="C1392" s="2" t="str">
        <x:v>Event detail</x:v>
      </x:c>
      <x:c r="D1392" s="19" t="str">
        <x:v>C19E10 Kip: geometry.within_normal_mechanical_arc</x:v>
      </x:c>
      <x:c r="E1392" s="58" t="b">
        <x:v>1</x:v>
      </x:c>
      <x:c r="F1392" s="19" t="str">
        <x:v>Planned</x:v>
      </x:c>
    </x:row>
    <x:row r="1393" ht="28" customHeight="1">
      <x:c r="A1393" s="17" t="str">
        <x:v>F1386</x:v>
      </x:c>
      <x:c r="B1393" s="51" t="n">
        <x:v>19</x:v>
      </x:c>
      <x:c r="C1393" s="17" t="str">
        <x:v>Event detail</x:v>
      </x:c>
      <x:c r="D1393" s="20" t="str">
        <x:v>C19E10 Kip: geometry.ready_at_start</x:v>
      </x:c>
      <x:c r="E1393" s="59" t="b">
        <x:v>1</x:v>
      </x:c>
      <x:c r="F1393" s="20" t="str">
        <x:v>Planned</x:v>
      </x:c>
    </x:row>
    <x:row r="1394" ht="32" customHeight="1">
      <x:c r="A1394" s="2" t="str">
        <x:v>F1387</x:v>
      </x:c>
      <x:c r="B1394" s="50" t="n">
        <x:v>19</x:v>
      </x:c>
      <x:c r="C1394" s="2" t="str">
        <x:v>Event detail</x:v>
      </x:c>
      <x:c r="D1394" s="19" t="str">
        <x:v>C19E10 Kip: geometry.target_is_constructed_fixture</x:v>
      </x:c>
      <x:c r="E1394" s="58" t="b">
        <x:v>1</x:v>
      </x:c>
      <x:c r="F1394" s="19" t="str">
        <x:v>Planned</x:v>
      </x:c>
    </x:row>
    <x:row r="1395" ht="32" customHeight="1">
      <x:c r="A1395" s="17" t="str">
        <x:v>F1388</x:v>
      </x:c>
      <x:c r="B1395" s="51" t="n">
        <x:v>19</x:v>
      </x:c>
      <x:c r="C1395" s="17" t="str">
        <x:v>Event detail</x:v>
      </x:c>
      <x:c r="D1395" s="20" t="str">
        <x:v>C19E10 Kip: geometry.shield_removed_physically_if_any</x:v>
      </x:c>
      <x:c r="E1395" s="59" t="b">
        <x:v>1</x:v>
      </x:c>
      <x:c r="F1395" s="20" t="str">
        <x:v>Planned</x:v>
      </x:c>
    </x:row>
    <x:row r="1396" ht="28" customHeight="1">
      <x:c r="A1396" s="2" t="str">
        <x:v>F1389</x:v>
      </x:c>
      <x:c r="B1396" s="50" t="n">
        <x:v>19</x:v>
      </x:c>
      <x:c r="C1396" s="2" t="str">
        <x:v>Event detail</x:v>
      </x:c>
      <x:c r="D1396" s="19" t="str">
        <x:v>C19E10 Kip: geometry.prior_sight_at</x:v>
      </x:c>
      <x:c r="E1396" s="19" t="str">
        <x:v>Day 4 09:00:23</x:v>
      </x:c>
      <x:c r="F1396" s="19" t="str">
        <x:v>Planned</x:v>
      </x:c>
    </x:row>
    <x:row r="1397" ht="28" customHeight="1">
      <x:c r="A1397" s="17" t="str">
        <x:v>F1390</x:v>
      </x:c>
      <x:c r="B1397" s="51" t="n">
        <x:v>19</x:v>
      </x:c>
      <x:c r="C1397" s="17" t="str">
        <x:v>Event detail</x:v>
      </x:c>
      <x:c r="D1397" s="20" t="str">
        <x:v>C19E10 Kip: outcome</x:v>
      </x:c>
      <x:c r="E1397" s="20" t="str">
        <x:v>ordinary legal fixture function, no strengthened output</x:v>
      </x:c>
      <x:c r="F1397" s="20" t="str">
        <x:v>Planned</x:v>
      </x:c>
    </x:row>
    <x:row r="1398" ht="28" customHeight="1">
      <x:c r="A1398" s="2" t="str">
        <x:v>F1391</x:v>
      </x:c>
      <x:c r="B1398" s="50" t="n">
        <x:v>19</x:v>
      </x:c>
      <x:c r="C1398" s="2" t="str">
        <x:v>Event detail</x:v>
      </x:c>
      <x:c r="D1398" s="19" t="str">
        <x:v>C19E11 Owen: target</x:v>
      </x:c>
      <x:c r="E1398" s="19" t="str">
        <x:v>same eligible right forearm cut</x:v>
      </x:c>
      <x:c r="F1398" s="19" t="str">
        <x:v>Planned</x:v>
      </x:c>
    </x:row>
    <x:row r="1399" ht="28" customHeight="1">
      <x:c r="A1399" s="17" t="str">
        <x:v>F1392</x:v>
      </x:c>
      <x:c r="B1399" s="51" t="n">
        <x:v>19</x:v>
      </x:c>
      <x:c r="C1399" s="17" t="str">
        <x:v>Event detail</x:v>
      </x:c>
      <x:c r="D1399" s="20" t="str">
        <x:v>C19E11 Owen: note</x:v>
      </x:c>
      <x:c r="E1399" s="20" t="str">
        <x:v>Twenty seconds of protected aftercare after the fight; no instant battle healing.</x:v>
      </x:c>
      <x:c r="F1399" s="20" t="str">
        <x:v>Planned</x:v>
      </x:c>
    </x:row>
    <x:row r="1400" ht="28" customHeight="1">
      <x:c r="A1400" s="2" t="str">
        <x:v>F1393</x:v>
      </x:c>
      <x:c r="B1400" s="50" t="n">
        <x:v>19</x:v>
      </x:c>
      <x:c r="C1400" s="2" t="str">
        <x:v>Event detail</x:v>
      </x:c>
      <x:c r="D1400" s="19" t="str">
        <x:v>C19E11 Owen: geometry.wound_length_cm</x:v>
      </x:c>
      <x:c r="E1400" s="60" t="n">
        <x:v>8</x:v>
      </x:c>
      <x:c r="F1400" s="19" t="str">
        <x:v>Planned</x:v>
      </x:c>
    </x:row>
    <x:row r="1401" ht="28" customHeight="1">
      <x:c r="A1401" s="17" t="str">
        <x:v>F1394</x:v>
      </x:c>
      <x:c r="B1401" s="51" t="n">
        <x:v>19</x:v>
      </x:c>
      <x:c r="C1401" s="17" t="str">
        <x:v>Event detail</x:v>
      </x:c>
      <x:c r="D1401" s="20" t="str">
        <x:v>C19E11 Owen: geometry.wound_depth_cm</x:v>
      </x:c>
      <x:c r="E1401" s="62" t="n">
        <x:v>0.5</x:v>
      </x:c>
      <x:c r="F1401" s="20" t="str">
        <x:v>Planned</x:v>
      </x:c>
    </x:row>
    <x:row r="1402" ht="28" customHeight="1">
      <x:c r="A1402" s="2" t="str">
        <x:v>F1395</x:v>
      </x:c>
      <x:c r="B1402" s="50" t="n">
        <x:v>19</x:v>
      </x:c>
      <x:c r="C1402" s="2" t="str">
        <x:v>Event detail</x:v>
      </x:c>
      <x:c r="D1402" s="19" t="str">
        <x:v>C19E11 Owen: geometry.external_wound</x:v>
      </x:c>
      <x:c r="E1402" s="58" t="b">
        <x:v>1</x:v>
      </x:c>
      <x:c r="F1402" s="19" t="str">
        <x:v>Planned</x:v>
      </x:c>
    </x:row>
    <x:row r="1403" ht="32" customHeight="1">
      <x:c r="A1403" s="17" t="str">
        <x:v>F1396</x:v>
      </x:c>
      <x:c r="B1403" s="51" t="n">
        <x:v>19</x:v>
      </x:c>
      <x:c r="C1403" s="17" t="str">
        <x:v>Event detail</x:v>
      </x:c>
      <x:c r="D1403" s="20" t="str">
        <x:v>C19E11 Owen: geometry.tissue_present_and_aligned</x:v>
      </x:c>
      <x:c r="E1403" s="59" t="b">
        <x:v>1</x:v>
      </x:c>
      <x:c r="F1403" s="20" t="str">
        <x:v>Planned</x:v>
      </x:c>
    </x:row>
    <x:row r="1404" ht="32" customHeight="1">
      <x:c r="A1404" s="2" t="str">
        <x:v>F1397</x:v>
      </x:c>
      <x:c r="B1404" s="50" t="n">
        <x:v>19</x:v>
      </x:c>
      <x:c r="C1404" s="2" t="str">
        <x:v>Event detail</x:v>
      </x:c>
      <x:c r="D1404" s="19" t="str">
        <x:v>C19E11 Owen: geometry.uninterrupted_touch_seconds</x:v>
      </x:c>
      <x:c r="E1404" s="60" t="n">
        <x:v>20</x:v>
      </x:c>
      <x:c r="F1404" s="19" t="str">
        <x:v>Planned</x:v>
      </x:c>
    </x:row>
    <x:row r="1405" ht="32" customHeight="1">
      <x:c r="A1405" s="17" t="str">
        <x:v>F1398</x:v>
      </x:c>
      <x:c r="B1405" s="51" t="n">
        <x:v>19</x:v>
      </x:c>
      <x:c r="C1405" s="17" t="str">
        <x:v>Event detail</x:v>
      </x:c>
      <x:c r="D1405" s="20" t="str">
        <x:v>C19E11 Owen: geometry.repairs_bone_blood_organs_or_nerves</x:v>
      </x:c>
      <x:c r="E1405" s="59" t="b">
        <x:v>0</x:v>
      </x:c>
      <x:c r="F1405" s="20" t="str">
        <x:v>Planned</x:v>
      </x:c>
    </x:row>
    <x:row r="1406" ht="32" customHeight="1">
      <x:c r="A1406" s="2" t="str">
        <x:v>F1399</x:v>
      </x:c>
      <x:c r="B1406" s="50" t="n">
        <x:v>19</x:v>
      </x:c>
      <x:c r="C1406" s="2" t="str">
        <x:v>Event detail</x:v>
      </x:c>
      <x:c r="D1406" s="19" t="str">
        <x:v>C19E11 Owen: geometry.protected_position_for_channel_required_in_prose</x:v>
      </x:c>
      <x:c r="E1406" s="58" t="b">
        <x:v>1</x:v>
      </x:c>
      <x:c r="F1406" s="19" t="str">
        <x:v>Planned</x:v>
      </x:c>
    </x:row>
    <x:row r="1407" ht="28" customHeight="1">
      <x:c r="A1407" s="17" t="str">
        <x:v>F1400</x:v>
      </x:c>
      <x:c r="B1407" s="51" t="n">
        <x:v>20</x:v>
      </x:c>
      <x:c r="C1407" s="17" t="str">
        <x:v>Event detail</x:v>
      </x:c>
      <x:c r="D1407" s="20" t="str">
        <x:v>C20E01 Kip: note</x:v>
      </x:c>
      <x:c r="E1407" s="20" t="str">
        <x:v>Protected, seated, no casting/movement/attack; another awake person keeps watch.</x:v>
      </x:c>
      <x:c r="F1407" s="20" t="str">
        <x:v>Planned</x:v>
      </x:c>
    </x:row>
    <x:row r="1408" ht="28" customHeight="1">
      <x:c r="A1408" s="2" t="str">
        <x:v>F1401</x:v>
      </x:c>
      <x:c r="B1408" s="50" t="n">
        <x:v>20</x:v>
      </x:c>
      <x:c r="C1408" s="2" t="str">
        <x:v>Event detail</x:v>
      </x:c>
      <x:c r="D1408" s="19" t="str">
        <x:v>C20E01 Kip: ends</x:v>
      </x:c>
      <x:c r="E1408" s="19" t="str">
        <x:v>Day 4 09:44:00</x:v>
      </x:c>
      <x:c r="F1408" s="19" t="str">
        <x:v>Planned</x:v>
      </x:c>
    </x:row>
    <x:row r="1409" ht="28" customHeight="1">
      <x:c r="A1409" s="17" t="str">
        <x:v>F1402</x:v>
      </x:c>
      <x:c r="B1409" s="51" t="n">
        <x:v>20</x:v>
      </x:c>
      <x:c r="C1409" s="17" t="str">
        <x:v>Event detail</x:v>
      </x:c>
      <x:c r="D1409" s="20" t="str">
        <x:v>C20E02 Tessa: note</x:v>
      </x:c>
      <x:c r="E1409" s="20" t="str">
        <x:v>Protected, seated, no casting/movement/attack; another awake person keeps watch.</x:v>
      </x:c>
      <x:c r="F1409" s="20" t="str">
        <x:v>Planned</x:v>
      </x:c>
    </x:row>
    <x:row r="1410" ht="28" customHeight="1">
      <x:c r="A1410" s="2" t="str">
        <x:v>F1403</x:v>
      </x:c>
      <x:c r="B1410" s="50" t="n">
        <x:v>20</x:v>
      </x:c>
      <x:c r="C1410" s="2" t="str">
        <x:v>Event detail</x:v>
      </x:c>
      <x:c r="D1410" s="19" t="str">
        <x:v>C20E02 Tessa: ends</x:v>
      </x:c>
      <x:c r="E1410" s="19" t="str">
        <x:v>Day 4 09:36:00</x:v>
      </x:c>
      <x:c r="F1410" s="19" t="str">
        <x:v>Planned</x:v>
      </x:c>
    </x:row>
    <x:row r="1411" ht="28" customHeight="1">
      <x:c r="A1411" s="17" t="str">
        <x:v>F1404</x:v>
      </x:c>
      <x:c r="B1411" s="51" t="n">
        <x:v>20</x:v>
      </x:c>
      <x:c r="C1411" s="17" t="str">
        <x:v>Event detail</x:v>
      </x:c>
      <x:c r="D1411" s="20" t="str">
        <x:v>C20E03 Owen: note</x:v>
      </x:c>
      <x:c r="E1411" s="20" t="str">
        <x:v>Protected, seated, no casting/movement/attack; another awake person keeps watch.</x:v>
      </x:c>
      <x:c r="F1411" s="20" t="str">
        <x:v>Planned</x:v>
      </x:c>
    </x:row>
    <x:row r="1412" ht="28" customHeight="1">
      <x:c r="A1412" s="2" t="str">
        <x:v>F1405</x:v>
      </x:c>
      <x:c r="B1412" s="50" t="n">
        <x:v>20</x:v>
      </x:c>
      <x:c r="C1412" s="2" t="str">
        <x:v>Event detail</x:v>
      </x:c>
      <x:c r="D1412" s="19" t="str">
        <x:v>C20E03 Owen: ends</x:v>
      </x:c>
      <x:c r="E1412" s="19" t="str">
        <x:v>Day 4 09:37:00</x:v>
      </x:c>
      <x:c r="F1412" s="19" t="str">
        <x:v>Planned</x:v>
      </x:c>
    </x:row>
    <x:row r="1413" ht="28" customHeight="1">
      <x:c r="A1413" s="17" t="str">
        <x:v>F1406</x:v>
      </x:c>
      <x:c r="B1413" s="51" t="n">
        <x:v>20</x:v>
      </x:c>
      <x:c r="C1413" s="17" t="str">
        <x:v>Event detail</x:v>
      </x:c>
      <x:c r="D1413" s="20" t="str">
        <x:v>C20E04 Dane: note</x:v>
      </x:c>
      <x:c r="E1413" s="20" t="str">
        <x:v>Protected, seated, no casting/movement/attack; another awake person keeps watch.</x:v>
      </x:c>
      <x:c r="F1413" s="20" t="str">
        <x:v>Planned</x:v>
      </x:c>
    </x:row>
    <x:row r="1414" ht="28" customHeight="1">
      <x:c r="A1414" s="2" t="str">
        <x:v>F1407</x:v>
      </x:c>
      <x:c r="B1414" s="50" t="n">
        <x:v>20</x:v>
      </x:c>
      <x:c r="C1414" s="2" t="str">
        <x:v>Event detail</x:v>
      </x:c>
      <x:c r="D1414" s="19" t="str">
        <x:v>C20E04 Dane: ends</x:v>
      </x:c>
      <x:c r="E1414" s="19" t="str">
        <x:v>Day 4 09:38:00</x:v>
      </x:c>
      <x:c r="F1414" s="19" t="str">
        <x:v>Planned</x:v>
      </x:c>
    </x:row>
    <x:row r="1415" ht="28" customHeight="1">
      <x:c r="A1415" s="17" t="str">
        <x:v>F1408</x:v>
      </x:c>
      <x:c r="B1415" s="51" t="n">
        <x:v>20</x:v>
      </x:c>
      <x:c r="C1415" s="17" t="str">
        <x:v>Event detail</x:v>
      </x:c>
      <x:c r="D1415" s="20" t="str">
        <x:v>C20E05 Tessa: target</x:v>
      </x:c>
      <x:c r="E1415" s="20" t="str">
        <x:v>visible gatewalkroute; runephysicallybrokenwithspear</x:v>
      </x:c>
      <x:c r="F1415" s="20" t="str">
        <x:v>Planned</x:v>
      </x:c>
    </x:row>
    <x:row r="1416" ht="28" customHeight="1">
      <x:c r="A1416" s="2" t="str">
        <x:v>F1409</x:v>
      </x:c>
      <x:c r="B1416" s="50" t="n">
        <x:v>20</x:v>
      </x:c>
      <x:c r="C1416" s="2" t="str">
        <x:v>Event detail</x:v>
      </x:c>
      <x:c r="D1416" s="19" t="str">
        <x:v>C20E05 Tessa: geometry.path_length_m</x:v>
      </x:c>
      <x:c r="E1416" s="60" t="n">
        <x:v>8</x:v>
      </x:c>
      <x:c r="F1416" s="19" t="str">
        <x:v>Planned</x:v>
      </x:c>
    </x:row>
    <x:row r="1417" ht="32" customHeight="1">
      <x:c r="A1417" s="17" t="str">
        <x:v>F1410</x:v>
      </x:c>
      <x:c r="B1417" s="51" t="n">
        <x:v>20</x:v>
      </x:c>
      <x:c r="C1417" s="17" t="str">
        <x:v>Event detail</x:v>
      </x:c>
      <x:c r="D1417" s="20" t="str">
        <x:v>C20E05 Tessa: geometry.visible_traversable_physical_path</x:v>
      </x:c>
      <x:c r="E1417" s="59" t="b">
        <x:v>1</x:v>
      </x:c>
      <x:c r="F1417" s="20" t="str">
        <x:v>Planned</x:v>
      </x:c>
    </x:row>
    <x:row r="1418" ht="32" customHeight="1">
      <x:c r="A1418" s="2" t="str">
        <x:v>F1411</x:v>
      </x:c>
      <x:c r="B1418" s="50" t="n">
        <x:v>20</x:v>
      </x:c>
      <x:c r="C1418" s="2" t="str">
        <x:v>Event detail</x:v>
      </x:c>
      <x:c r="D1418" s="19" t="str">
        <x:v>C20E05 Tessa: geometry.passes_through_creature_wall_or_restraint</x:v>
      </x:c>
      <x:c r="E1418" s="58" t="b">
        <x:v>0</x:v>
      </x:c>
      <x:c r="F1418" s="19" t="str">
        <x:v>Planned</x:v>
      </x:c>
    </x:row>
    <x:row r="1419" ht="32" customHeight="1">
      <x:c r="A1419" s="17" t="str">
        <x:v>F1412</x:v>
      </x:c>
      <x:c r="B1419" s="51" t="n">
        <x:v>20</x:v>
      </x:c>
      <x:c r="C1419" s="17" t="str">
        <x:v>Event detail</x:v>
      </x:c>
      <x:c r="D1419" s="20" t="str">
        <x:v>C20E05 Tessa: geometry.carries_another_adult</x:v>
      </x:c>
      <x:c r="E1419" s="59" t="b">
        <x:v>0</x:v>
      </x:c>
      <x:c r="F1419" s="20" t="str">
        <x:v>Planned</x:v>
      </x:c>
    </x:row>
    <x:row r="1420" ht="32" customHeight="1">
      <x:c r="A1420" s="2" t="str">
        <x:v>F1413</x:v>
      </x:c>
      <x:c r="B1420" s="50" t="n">
        <x:v>20</x:v>
      </x:c>
      <x:c r="C1420" s="2" t="str">
        <x:v>Event detail</x:v>
      </x:c>
      <x:c r="D1420" s="19" t="str">
        <x:v>C20E05 Tessa: geometry.crosses_otherwise_impossible_gap</x:v>
      </x:c>
      <x:c r="E1420" s="58" t="b">
        <x:v>0</x:v>
      </x:c>
      <x:c r="F1420" s="19" t="str">
        <x:v>Planned</x:v>
      </x:c>
    </x:row>
    <x:row r="1421" ht="32" customHeight="1">
      <x:c r="A1421" s="17" t="str">
        <x:v>F1414</x:v>
      </x:c>
      <x:c r="B1421" s="51" t="n">
        <x:v>20</x:v>
      </x:c>
      <x:c r="C1421" s="17" t="str">
        <x:v>Event detail</x:v>
      </x:c>
      <x:c r="D1421" s="20" t="str">
        <x:v>C20E05 Tessa: geometry.hazard_immunity_assumed</x:v>
      </x:c>
      <x:c r="E1421" s="59" t="b">
        <x:v>0</x:v>
      </x:c>
      <x:c r="F1421" s="20" t="str">
        <x:v>Planned</x:v>
      </x:c>
    </x:row>
    <x:row r="1422" ht="28" customHeight="1">
      <x:c r="A1422" s="2" t="str">
        <x:v>F1415</x:v>
      </x:c>
      <x:c r="B1422" s="50" t="n">
        <x:v>20</x:v>
      </x:c>
      <x:c r="C1422" s="2" t="str">
        <x:v>Event detail</x:v>
      </x:c>
      <x:c r="D1422" s="19" t="str">
        <x:v>C20E06 Dane: target</x:v>
      </x:c>
      <x:c r="E1422" s="19" t="str">
        <x:v>frontofworkerswithgate-loadrig</x:v>
      </x:c>
      <x:c r="F1422" s="19" t="str">
        <x:v>Planned</x:v>
      </x:c>
    </x:row>
    <x:row r="1423" ht="32" customHeight="1">
      <x:c r="A1423" s="17" t="str">
        <x:v>F1416</x:v>
      </x:c>
      <x:c r="B1423" s="51" t="n">
        <x:v>20</x:v>
      </x:c>
      <x:c r="C1423" s="17" t="str">
        <x:v>Event detail</x:v>
      </x:c>
      <x:c r="D1423" s="20" t="str">
        <x:v>C20E06 Dane: geometry.weapon_raised_in_right_hand</x:v>
      </x:c>
      <x:c r="E1423" s="59" t="b">
        <x:v>1</x:v>
      </x:c>
      <x:c r="F1423" s="20" t="str">
        <x:v>Planned</x:v>
      </x:c>
    </x:row>
    <x:row r="1424" ht="28" customHeight="1">
      <x:c r="A1424" s="2" t="str">
        <x:v>F1417</x:v>
      </x:c>
      <x:c r="B1424" s="50" t="n">
        <x:v>20</x:v>
      </x:c>
      <x:c r="C1424" s="2" t="str">
        <x:v>Event detail</x:v>
      </x:c>
      <x:c r="D1424" s="19" t="str">
        <x:v>C20E06 Dane: geometry.effect_seconds</x:v>
      </x:c>
      <x:c r="E1424" s="60" t="n">
        <x:v>8</x:v>
      </x:c>
      <x:c r="F1424" s="19" t="str">
        <x:v>Planned</x:v>
      </x:c>
    </x:row>
    <x:row r="1425" ht="32" customHeight="1">
      <x:c r="A1425" s="17" t="str">
        <x:v>F1418</x:v>
      </x:c>
      <x:c r="B1425" s="51" t="n">
        <x:v>20</x:v>
      </x:c>
      <x:c r="C1425" s="17" t="str">
        <x:v>Event detail</x:v>
      </x:c>
      <x:c r="D1425" s="20" t="str">
        <x:v>C20E06 Dane: geometry.physical_attack_crosses_front</x:v>
      </x:c>
      <x:c r="E1425" s="59" t="b">
        <x:v>1</x:v>
      </x:c>
      <x:c r="F1425" s="20" t="str">
        <x:v>Planned</x:v>
      </x:c>
    </x:row>
    <x:row r="1426" ht="32" customHeight="1">
      <x:c r="A1426" s="2" t="str">
        <x:v>F1419</x:v>
      </x:c>
      <x:c r="B1426" s="50" t="n">
        <x:v>20</x:v>
      </x:c>
      <x:c r="C1426" s="2" t="str">
        <x:v>Event detail</x:v>
      </x:c>
      <x:c r="D1426" s="19" t="str">
        <x:v>C20E06 Dane: geometry.runs_or_attacks_during_effect</x:v>
      </x:c>
      <x:c r="E1426" s="58" t="b">
        <x:v>0</x:v>
      </x:c>
      <x:c r="F1426" s="19" t="str">
        <x:v>Planned</x:v>
      </x:c>
    </x:row>
    <x:row r="1427" ht="32" customHeight="1">
      <x:c r="A1427" s="17" t="str">
        <x:v>F1420</x:v>
      </x:c>
      <x:c r="B1427" s="51" t="n">
        <x:v>20</x:v>
      </x:c>
      <x:c r="C1427" s="17" t="str">
        <x:v>Event detail</x:v>
      </x:c>
      <x:c r="D1427" s="20" t="str">
        <x:v>C20E06 Dane: geometry.blocks_heat_poison_or_suffocation</x:v>
      </x:c>
      <x:c r="E1427" s="59" t="b">
        <x:v>0</x:v>
      </x:c>
      <x:c r="F1427" s="20" t="str">
        <x:v>Planned</x:v>
      </x:c>
    </x:row>
    <x:row r="1428" ht="32" customHeight="1">
      <x:c r="A1428" s="2" t="str">
        <x:v>F1421</x:v>
      </x:c>
      <x:c r="B1428" s="50" t="n">
        <x:v>20</x:v>
      </x:c>
      <x:c r="C1428" s="2" t="str">
        <x:v>Event detail</x:v>
      </x:c>
      <x:c r="D1428" s="19" t="str">
        <x:v>C20E06 Dane: geometry.reduced_force_still_can_hurt</x:v>
      </x:c>
      <x:c r="E1428" s="58" t="b">
        <x:v>1</x:v>
      </x:c>
      <x:c r="F1428" s="19" t="str">
        <x:v>Planned</x:v>
      </x:c>
    </x:row>
    <x:row r="1429" ht="28" customHeight="1">
      <x:c r="A1429" s="17" t="str">
        <x:v>F1422</x:v>
      </x:c>
      <x:c r="B1429" s="51" t="n">
        <x:v>20</x:v>
      </x:c>
      <x:c r="C1429" s="17" t="str">
        <x:v>Event detail</x:v>
      </x:c>
      <x:c r="D1429" s="20" t="str">
        <x:v>C20E07 Kip: target</x:v>
      </x:c>
      <x:c r="E1429" s="20" t="str">
        <x:v>main gate brake</x:v>
      </x:c>
      <x:c r="F1429" s="20" t="str">
        <x:v>Planned</x:v>
      </x:c>
    </x:row>
    <x:row r="1430" ht="32" customHeight="1">
      <x:c r="A1430" s="2" t="str">
        <x:v>F1423</x:v>
      </x:c>
      <x:c r="B1430" s="50" t="n">
        <x:v>20</x:v>
      </x:c>
      <x:c r="C1430" s="2" t="str">
        <x:v>Event detail</x:v>
      </x:c>
      <x:c r="D1430" s="19" t="str">
        <x:v>C20E07 Kip: note</x:v>
      </x:c>
      <x:c r="E1430" s="19" t="str">
        <x:v>Waterlevelalreadydropped17; runephysicallybroken20; Sightwithin10mreportsAvailable; ordinaryrelease5sec whileJoryrigcarriesload.</x:v>
      </x:c>
      <x:c r="F1430" s="19" t="str">
        <x:v>Planned</x:v>
      </x:c>
    </x:row>
    <x:row r="1431" ht="28" customHeight="1">
      <x:c r="A1431" s="17" t="str">
        <x:v>F1424</x:v>
      </x:c>
      <x:c r="B1431" s="51" t="n">
        <x:v>20</x:v>
      </x:c>
      <x:c r="C1431" s="17" t="str">
        <x:v>Event detail</x:v>
      </x:c>
      <x:c r="D1431" s="20" t="str">
        <x:v>C20E07 Kip: control_seconds</x:v>
      </x:c>
      <x:c r="E1431" s="61" t="n">
        <x:v>5</x:v>
      </x:c>
      <x:c r="F1431" s="20" t="str">
        <x:v>Planned</x:v>
      </x:c>
    </x:row>
    <x:row r="1432" ht="28" customHeight="1">
      <x:c r="A1432" s="2" t="str">
        <x:v>F1425</x:v>
      </x:c>
      <x:c r="B1432" s="50" t="n">
        <x:v>20</x:v>
      </x:c>
      <x:c r="C1432" s="2" t="str">
        <x:v>Event detail</x:v>
      </x:c>
      <x:c r="D1432" s="19" t="str">
        <x:v>C20E07 Kip: geometry.distance_m</x:v>
      </x:c>
      <x:c r="E1432" s="60" t="n">
        <x:v>8</x:v>
      </x:c>
      <x:c r="F1432" s="19" t="str">
        <x:v>Planned</x:v>
      </x:c>
    </x:row>
    <x:row r="1433" ht="32" customHeight="1">
      <x:c r="A1433" s="17" t="str">
        <x:v>F1426</x:v>
      </x:c>
      <x:c r="B1433" s="51" t="n">
        <x:v>20</x:v>
      </x:c>
      <x:c r="C1433" s="17" t="str">
        <x:v>Event detail</x:v>
      </x:c>
      <x:c r="D1433" s="20" t="str">
        <x:v>C20E07 Kip: geometry.prior_sight_distance_m</x:v>
      </x:c>
      <x:c r="E1433" s="61" t="n">
        <x:v>8</x:v>
      </x:c>
      <x:c r="F1433" s="20" t="str">
        <x:v>Planned</x:v>
      </x:c>
    </x:row>
    <x:row r="1434" ht="32" customHeight="1">
      <x:c r="A1434" s="2" t="str">
        <x:v>F1427</x:v>
      </x:c>
      <x:c r="B1434" s="50" t="n">
        <x:v>20</x:v>
      </x:c>
      <x:c r="C1434" s="2" t="str">
        <x:v>Event detail</x:v>
      </x:c>
      <x:c r="D1434" s="19" t="str">
        <x:v>C20E07 Kip: geometry.prior_sight_attention_seconds</x:v>
      </x:c>
      <x:c r="E1434" s="60" t="n">
        <x:v>1</x:v>
      </x:c>
      <x:c r="F1434" s="19" t="str">
        <x:v>Planned</x:v>
      </x:c>
    </x:row>
    <x:row r="1435" ht="28" customHeight="1">
      <x:c r="A1435" s="17" t="str">
        <x:v>F1428</x:v>
      </x:c>
      <x:c r="B1435" s="51" t="n">
        <x:v>20</x:v>
      </x:c>
      <x:c r="C1435" s="17" t="str">
        <x:v>Event detail</x:v>
      </x:c>
      <x:c r="D1435" s="20" t="str">
        <x:v>C20E07 Kip: geometry.visible_at_start</x:v>
      </x:c>
      <x:c r="E1435" s="59" t="b">
        <x:v>1</x:v>
      </x:c>
      <x:c r="F1435" s="20" t="str">
        <x:v>Planned</x:v>
      </x:c>
    </x:row>
    <x:row r="1436" ht="32" customHeight="1">
      <x:c r="A1436" s="2" t="str">
        <x:v>F1429</x:v>
      </x:c>
      <x:c r="B1436" s="50" t="n">
        <x:v>20</x:v>
      </x:c>
      <x:c r="C1436" s="2" t="str">
        <x:v>Event detail</x:v>
      </x:c>
      <x:c r="D1436" s="19" t="str">
        <x:v>C20E07 Kip: geometry.available_at_start</x:v>
      </x:c>
      <x:c r="E1436" s="58" t="b">
        <x:v>1</x:v>
      </x:c>
      <x:c r="F1436" s="19" t="str">
        <x:v>Planned</x:v>
      </x:c>
    </x:row>
    <x:row r="1437" ht="32" customHeight="1">
      <x:c r="A1437" s="17" t="str">
        <x:v>F1430</x:v>
      </x:c>
      <x:c r="B1437" s="51" t="n">
        <x:v>20</x:v>
      </x:c>
      <x:c r="C1437" s="17" t="str">
        <x:v>Event detail</x:v>
      </x:c>
      <x:c r="D1437" s="20" t="str">
        <x:v>C20E07 Kip: geometry.within_normal_mechanical_arc</x:v>
      </x:c>
      <x:c r="E1437" s="59" t="b">
        <x:v>1</x:v>
      </x:c>
      <x:c r="F1437" s="20" t="str">
        <x:v>Planned</x:v>
      </x:c>
    </x:row>
    <x:row r="1438" ht="28" customHeight="1">
      <x:c r="A1438" s="2" t="str">
        <x:v>F1431</x:v>
      </x:c>
      <x:c r="B1438" s="50" t="n">
        <x:v>20</x:v>
      </x:c>
      <x:c r="C1438" s="2" t="str">
        <x:v>Event detail</x:v>
      </x:c>
      <x:c r="D1438" s="19" t="str">
        <x:v>C20E07 Kip: geometry.ready_at_start</x:v>
      </x:c>
      <x:c r="E1438" s="58" t="b">
        <x:v>1</x:v>
      </x:c>
      <x:c r="F1438" s="19" t="str">
        <x:v>Planned</x:v>
      </x:c>
    </x:row>
    <x:row r="1439" ht="32" customHeight="1">
      <x:c r="A1439" s="17" t="str">
        <x:v>F1432</x:v>
      </x:c>
      <x:c r="B1439" s="51" t="n">
        <x:v>20</x:v>
      </x:c>
      <x:c r="C1439" s="17" t="str">
        <x:v>Event detail</x:v>
      </x:c>
      <x:c r="D1439" s="20" t="str">
        <x:v>C20E07 Kip: geometry.target_is_constructed_fixture</x:v>
      </x:c>
      <x:c r="E1439" s="59" t="b">
        <x:v>1</x:v>
      </x:c>
      <x:c r="F1439" s="20" t="str">
        <x:v>Planned</x:v>
      </x:c>
    </x:row>
    <x:row r="1440" ht="32" customHeight="1">
      <x:c r="A1440" s="2" t="str">
        <x:v>F1433</x:v>
      </x:c>
      <x:c r="B1440" s="50" t="n">
        <x:v>20</x:v>
      </x:c>
      <x:c r="C1440" s="2" t="str">
        <x:v>Event detail</x:v>
      </x:c>
      <x:c r="D1440" s="19" t="str">
        <x:v>C20E07 Kip: geometry.shield_removed_physically_if_any</x:v>
      </x:c>
      <x:c r="E1440" s="58" t="b">
        <x:v>1</x:v>
      </x:c>
      <x:c r="F1440" s="19" t="str">
        <x:v>Planned</x:v>
      </x:c>
    </x:row>
    <x:row r="1441" ht="28" customHeight="1">
      <x:c r="A1441" s="17" t="str">
        <x:v>F1434</x:v>
      </x:c>
      <x:c r="B1441" s="51" t="n">
        <x:v>20</x:v>
      </x:c>
      <x:c r="C1441" s="17" t="str">
        <x:v>Event detail</x:v>
      </x:c>
      <x:c r="D1441" s="20" t="str">
        <x:v>C20E07 Kip: outcome</x:v>
      </x:c>
      <x:c r="E1441" s="20" t="str">
        <x:v>ordinary legal fixture function, no strengthened output</x:v>
      </x:c>
      <x:c r="F1441" s="20" t="str">
        <x:v>Planned</x:v>
      </x:c>
    </x:row>
    <x:row r="1442" ht="28" customHeight="1">
      <x:c r="A1442" s="2" t="str">
        <x:v>F1435</x:v>
      </x:c>
      <x:c r="B1442" s="50"/>
      <x:c r="C1442" s="2" t="str">
        <x:v>Declared validation</x:v>
      </x:c>
      <x:c r="D1442" s="19" t="str">
        <x:v>Planning claim</x:v>
      </x:c>
      <x:c r="E1442" s="19" t="str">
        <x:v>Every paid cast has sufficient current Mana.</x:v>
      </x:c>
      <x:c r="F1442" s="19" t="str">
        <x:v>Numeric planning check</x:v>
      </x:c>
    </x:row>
    <x:row r="1443" ht="28" customHeight="1">
      <x:c r="A1443" s="17" t="str">
        <x:v>F1436</x:v>
      </x:c>
      <x:c r="B1443" s="51"/>
      <x:c r="C1443" s="17" t="str">
        <x:v>Declared validation</x:v>
      </x:c>
      <x:c r="D1443" s="20" t="str">
        <x:v>Planning claim</x:v>
      </x:c>
      <x:c r="E1443" s="20" t="str">
        <x:v>Listed per-person cooldowns pass across chapter boundaries.</x:v>
      </x:c>
      <x:c r="F1443" s="20" t="str">
        <x:v>Numeric planning check</x:v>
      </x:c>
    </x:row>
    <x:row r="1444" ht="28" customHeight="1">
      <x:c r="A1444" s="2" t="str">
        <x:v>F1437</x:v>
      </x:c>
      <x:c r="B1444" s="50"/>
      <x:c r="C1444" s="2" t="str">
        <x:v>Declared validation</x:v>
      </x:c>
      <x:c r="D1444" s="19" t="str">
        <x:v>Planning claim</x:v>
      </x:c>
      <x:c r="E1444" s="19" t="str">
        <x:v>Repeated Override fixture reuse respects end-plus15seconds.</x:v>
      </x:c>
      <x:c r="F1444" s="19" t="str">
        <x:v>Numeric planning check</x:v>
      </x:c>
    </x:row>
    <x:row r="1445" ht="28" customHeight="1">
      <x:c r="A1445" s="17" t="str">
        <x:v>F1438</x:v>
      </x:c>
      <x:c r="B1445" s="51"/>
      <x:c r="C1445" s="17" t="str">
        <x:v>Declared validation</x:v>
      </x:c>
      <x:c r="D1445" s="20" t="str">
        <x:v>Planning claim</x:v>
      </x:c>
      <x:c r="E1445" s="20" t="str">
        <x:v>No level event changes current Mana.</x:v>
      </x:c>
      <x:c r="F1445" s="20" t="str">
        <x:v>Numeric planning check</x:v>
      </x:c>
    </x:row>
    <x:row r="1446" ht="28" customHeight="1">
      <x:c r="A1446" s="2" t="str">
        <x:v>F1439</x:v>
      </x:c>
      <x:c r="B1446" s="50"/>
      <x:c r="C1446" s="2" t="str">
        <x:v>Declared validation</x:v>
      </x:c>
      <x:c r="D1446" s="19" t="str">
        <x:v>Planning claim</x:v>
      </x:c>
      <x:c r="E1446" s="19" t="str">
        <x:v>No recorded cast overlaps that persons quiet recovery interval.</x:v>
      </x:c>
      <x:c r="F1446" s="19" t="str">
        <x:v>Numeric planning check</x:v>
      </x:c>
    </x:row>
    <x:row r="1447" ht="28" customHeight="1">
      <x:c r="A1447" s="17" t="str">
        <x:v>F1440</x:v>
      </x:c>
      <x:c r="B1447" s="51"/>
      <x:c r="C1447" s="17" t="str">
        <x:v>Declared validation</x:v>
      </x:c>
      <x:c r="D1447" s="20" t="str">
        <x:v>Planning claim</x:v>
      </x:c>
      <x:c r="E1447" s="20" t="str">
        <x:v>3700XP gives Kip9/100, Tessa10/200, Owen12/700, Dane12/700.</x:v>
      </x:c>
      <x:c r="F1447" s="20" t="str">
        <x:v>Numeric planning check</x:v>
      </x:c>
    </x:row>
    <x:row r="1448" ht="28" customHeight="1">
      <x:c r="A1448" s="2" t="str">
        <x:v>F1441</x:v>
      </x:c>
      <x:c r="B1448" s="50"/>
      <x:c r="C1448" s="2" t="str">
        <x:v>Declared validation</x:v>
      </x:c>
      <x:c r="D1448" s="19" t="str">
        <x:v>Planning claim</x:v>
      </x:c>
      <x:c r="E1448" s="19" t="str">
        <x:v>All three ranked skills receive distinct120 focused minutes; rest excluded.</x:v>
      </x:c>
      <x:c r="F1448" s="19" t="str">
        <x:v>Numeric planning check</x:v>
      </x:c>
    </x:row>
    <x:row r="1449" ht="28" customHeight="1">
      <x:c r="A1449" s="17" t="str">
        <x:v>F1442</x:v>
      </x:c>
      <x:c r="B1449" s="51"/>
      <x:c r="C1449" s="17" t="str">
        <x:v>Declared validation</x:v>
      </x:c>
      <x:c r="D1449" s="20" t="str">
        <x:v>Planning claim</x:v>
      </x:c>
      <x:c r="E1449" s="20" t="str">
        <x:v>Failed assaultKip25/70, bossentry75/75, bossexit15/80, bookexit70/80.</x:v>
      </x:c>
      <x:c r="F1449" s="20" t="str">
        <x:v>Numeric planning check</x:v>
      </x:c>
    </x:row>
    <x:row r="1450" ht="28" customHeight="1">
      <x:c r="A1450" s="2" t="str">
        <x:v>F1443</x:v>
      </x:c>
      <x:c r="B1450" s="50"/>
      <x:c r="C1450" s="2" t="str">
        <x:v>Declared validation</x:v>
      </x:c>
      <x:c r="D1450" s="19" t="str">
        <x:v>Planning claim</x:v>
      </x:c>
      <x:c r="E1450" s="19" t="str">
        <x:v>Room chain obeys capacity1 until chapter10 and capacity2 thereafter.</x:v>
      </x:c>
      <x:c r="F1450" s="19" t="str">
        <x:v>Numeric planning check</x:v>
      </x:c>
    </x:row>
    <x:row r="1451" ht="28" customHeight="1">
      <x:c r="A1451" s="17" t="str">
        <x:v>F1444</x:v>
      </x:c>
      <x:c r="B1451" s="51"/>
      <x:c r="C1451" s="17" t="str">
        <x:v>Declared validation</x:v>
      </x:c>
      <x:c r="D1451" s="20" t="str">
        <x:v>Planning claim</x:v>
      </x:c>
      <x:c r="E1451" s="20" t="str">
        <x:v>Opening pre-debits35/50/45 and retreat exit25/30/25 for Tessa/Owen/Dane.</x:v>
      </x:c>
      <x:c r="F1451" s="20" t="str">
        <x:v>Numeric planning check</x:v>
      </x:c>
    </x:row>
    <x:row r="1452" ht="28" customHeight="1">
      <x:c r="A1452" s="2" t="str">
        <x:v>F1445</x:v>
      </x:c>
      <x:c r="B1452" s="50"/>
      <x:c r="C1452" s="2" t="str">
        <x:v>Declared validation</x:v>
      </x:c>
      <x:c r="D1452" s="19" t="str">
        <x:v>Planning claim</x:v>
      </x:c>
      <x:c r="E1452" s="19" t="str">
        <x:v>Separate non-farming awards occur once per planned challenge, not per cast/claim/wound.</x:v>
      </x:c>
      <x:c r="F1452" s="19" t="str">
        <x:v>Numeric planning check</x:v>
      </x:c>
    </x:row>
    <x:row r="1453" ht="28" customHeight="1">
      <x:c r="A1453" s="17" t="str">
        <x:v>F1446</x:v>
      </x:c>
      <x:c r="B1453" s="51"/>
      <x:c r="C1453" s="17" t="str">
        <x:v>Review still required</x:v>
      </x:c>
      <x:c r="D1453" s="20" t="str">
        <x:v>Not established</x:v>
      </x:c>
      <x:c r="E1453" s="20" t="str">
        <x:v>Actual prose geometry, causality and pacing</x:v>
      </x:c>
      <x:c r="F1453" s="20" t="str">
        <x:v>Open</x:v>
      </x:c>
    </x:row>
    <x:row r="1454" ht="28" customHeight="1">
      <x:c r="A1454" s="2" t="str">
        <x:v>F1447</x:v>
      </x:c>
      <x:c r="B1454" s="50"/>
      <x:c r="C1454" s="2" t="str">
        <x:v>Review still required</x:v>
      </x:c>
      <x:c r="D1454" s="19" t="str">
        <x:v>Not established</x:v>
      </x:c>
      <x:c r="E1454" s="19" t="str">
        <x:v>Whether rest security survives final prose</x:v>
      </x:c>
      <x:c r="F1454" s="19" t="str">
        <x:v>Open</x:v>
      </x:c>
    </x:row>
    <x:row r="1455" ht="28" customHeight="1">
      <x:c r="A1455" s="17" t="str">
        <x:v>F1448</x:v>
      </x:c>
      <x:c r="B1455" s="51"/>
      <x:c r="C1455" s="17" t="str">
        <x:v>Review still required</x:v>
      </x:c>
      <x:c r="D1455" s="20" t="str">
        <x:v>Not established</x:v>
      </x:c>
      <x:c r="E1455" s="20" t="str">
        <x:v>Full first-reader experience</x:v>
      </x:c>
      <x:c r="F1455" s="20" t="str">
        <x:v>Open</x:v>
      </x:c>
    </x:row>
    <x:row r="1456" ht="28" customHeight="1">
      <x:c r="A1456" s="2" t="str">
        <x:v>F1449</x:v>
      </x:c>
      <x:c r="B1456" s="50"/>
      <x:c r="C1456" s="2" t="str">
        <x:v>Review still required</x:v>
      </x:c>
      <x:c r="D1456" s="19" t="str">
        <x:v>Not established</x:v>
      </x:c>
      <x:c r="E1456" s="19" t="str">
        <x:v>Audio, storefront readiness or PocketFM delivery</x:v>
      </x:c>
      <x:c r="F1456" s="19" t="str">
        <x:v>Open</x:v>
      </x:c>
    </x:row>
    <x:row r="1457" ht="28" customHeight="1">
      <x:c r="A1457" s="17" t="str">
        <x:v>F1450</x:v>
      </x:c>
      <x:c r="B1457" s="51"/>
      <x:c r="C1457" s="17" t="str">
        <x:v>Adoption requirement</x:v>
      </x:c>
      <x:c r="D1457" s="20" t="str">
        <x:v>Requirement</x:v>
      </x:c>
      <x:c r="E1457" s="20" t="str">
        <x:v>Preserve or explicitly revise planned conditions when the actual scene is drafted.</x:v>
      </x:c>
      <x:c r="F1457" s="20" t="str">
        <x:v>Review required</x:v>
      </x:c>
    </x:row>
    <x:row r="1458" ht="32" customHeight="1">
      <x:c r="A1458" s="2" t="str">
        <x:v>F1451</x:v>
      </x:c>
      <x:c r="B1458" s="50"/>
      <x:c r="C1458" s="2" t="str">
        <x:v>Adoption requirement</x:v>
      </x:c>
      <x:c r="D1458" s="19" t="str">
        <x:v>Requirement</x:v>
      </x:c>
      <x:c r="E1458" s="19" t="str">
        <x:v>Read final prose, then record actual state separately; never promote a planned event by copying its status.</x:v>
      </x:c>
      <x:c r="F1458" s="19" t="str">
        <x:v>Review required</x:v>
      </x:c>
    </x:row>
    <x:row r="1459" ht="28" customHeight="1">
      <x:c r="A1459" s="18" t="str">
        <x:v>F1452</x:v>
      </x:c>
      <x:c r="B1459" s="52"/>
      <x:c r="C1459" s="18" t="str">
        <x:v>Adoption requirement</x:v>
      </x:c>
      <x:c r="D1459" s="21" t="str">
        <x:v>Requirement</x:v>
      </x:c>
      <x:c r="E1459" s="21" t="str">
        <x:v>Run the whole-book pass before Pocket FM adaptation and upload.</x:v>
      </x:c>
      <x:c r="F1459" s="21" t="str">
        <x:v>Review required</x:v>
      </x:c>
    </x:row>
    <x:row r="1460" ht="30" customHeight="1">
      <x:c r="A1460" s="79" t="str">
        <x:v>ACT-001-title</x:v>
      </x:c>
      <x:c r="B1460" s="79" t="n">
        <x:v>1</x:v>
      </x:c>
      <x:c r="C1460" s="79" t="str">
        <x:v>Actual title</x:v>
      </x:c>
      <x:c r="D1460" s="80" t="str">
        <x:v>title</x:v>
      </x:c>
      <x:c r="E1460" s="80" t="str">
        <x:v>Legendary, Level One</x:v>
      </x:c>
      <x:c r="F1460" s="80" t="str">
        <x:v>Confirmed from final text</x:v>
      </x:c>
    </x:row>
    <x:row r="1461" ht="30" customHeight="1">
      <x:c r="A1461" s="83" t="str">
        <x:v>ACT-001-source_file</x:v>
      </x:c>
      <x:c r="B1461" s="83" t="n">
        <x:v>1</x:v>
      </x:c>
      <x:c r="C1461" s="83" t="str">
        <x:v>Actual source_file</x:v>
      </x:c>
      <x:c r="D1461" s="84" t="str">
        <x:v>source_file</x:v>
      </x:c>
      <x:c r="E1461" s="84" t="str">
        <x:v>chapters/chapter-01/episode-001.txt</x:v>
      </x:c>
      <x:c r="F1461" s="84" t="str">
        <x:v>Confirmed from final text</x:v>
      </x:c>
    </x:row>
    <x:row r="1462" ht="30" customHeight="1">
      <x:c r="A1462" s="79" t="str">
        <x:v>ACT-001-source_sha256</x:v>
      </x:c>
      <x:c r="B1462" s="79" t="n">
        <x:v>1</x:v>
      </x:c>
      <x:c r="C1462" s="79" t="str">
        <x:v>Actual source_sha256</x:v>
      </x:c>
      <x:c r="D1462" s="80" t="str">
        <x:v>source_sha256</x:v>
      </x:c>
      <x:c r="E1462" s="80" t="str">
        <x:v>26d994aecffe589453af10fc671aa841f0f8738d856e785ac164147e7267da4c</x:v>
      </x:c>
      <x:c r="F1462" s="80" t="str">
        <x:v>Confirmed from final text</x:v>
      </x:c>
    </x:row>
    <x:row r="1463" ht="32" customHeight="1">
      <x:c r="A1463" s="83" t="str">
        <x:v>ACT-001-time</x:v>
      </x:c>
      <x:c r="B1463" s="83" t="n">
        <x:v>1</x:v>
      </x:c>
      <x:c r="C1463" s="83" t="str">
        <x:v>Actual time</x:v>
      </x:c>
      <x:c r="D1463" s="84" t="str">
        <x:v>time</x:v>
      </x:c>
      <x:c r="E1463" s="84" t="str">
        <x:v>Same opening retreat, immediately after first launcher use and crossing. No exact clock printed; no eligible quiet recovery or XP award yet.</x:v>
      </x:c>
      <x:c r="F1463" s="84" t="str">
        <x:v>Confirmed from final text</x:v>
      </x:c>
    </x:row>
    <x:row r="1464" ht="32" customHeight="1">
      <x:c r="A1464" s="79" t="str">
        <x:v>ACT-001-location</x:v>
      </x:c>
      <x:c r="B1464" s="79" t="n">
        <x:v>1</x:v>
      </x:c>
      <x:c r="C1464" s="79" t="str">
        <x:v>Actual location</x:v>
      </x:c>
      <x:c r="D1464" s="80" t="str">
        <x:v>location</x:v>
      </x:c>
      <x:c r="E1464" s="80" t="str">
        <x:v>Beyond the marked junction, moving north along the near wall toward the bend/service door. Kip and Owen carry Jory; Tessa ahead; rearguard between litter and live hunter.</x:v>
      </x:c>
      <x:c r="F1464" s="80" t="str">
        <x:v>Confirmed from final text</x:v>
      </x:c>
    </x:row>
    <x:row r="1465" ht="30" customHeight="1">
      <x:c r="A1465" s="83" t="str">
        <x:v>ACT-001-roster.001</x:v>
      </x:c>
      <x:c r="B1465" s="83" t="n">
        <x:v>1</x:v>
      </x:c>
      <x:c r="C1465" s="83" t="str">
        <x:v>Actual roster</x:v>
      </x:c>
      <x:c r="D1465" s="84" t="str">
        <x:v>roster.001</x:v>
      </x:c>
      <x:c r="E1465" s="84" t="str">
        <x:v>Kip Quillman</x:v>
      </x:c>
      <x:c r="F1465" s="84" t="str">
        <x:v>Confirmed from final text</x:v>
      </x:c>
    </x:row>
    <x:row r="1466" ht="30" customHeight="1">
      <x:c r="A1466" s="79" t="str">
        <x:v>ACT-001-roster.002</x:v>
      </x:c>
      <x:c r="B1466" s="79" t="n">
        <x:v>1</x:v>
      </x:c>
      <x:c r="C1466" s="79" t="str">
        <x:v>Actual roster</x:v>
      </x:c>
      <x:c r="D1466" s="80" t="str">
        <x:v>roster.002</x:v>
      </x:c>
      <x:c r="E1466" s="80" t="str">
        <x:v>Tessa Ward</x:v>
      </x:c>
      <x:c r="F1466" s="80" t="str">
        <x:v>Confirmed from final text</x:v>
      </x:c>
    </x:row>
    <x:row r="1467" ht="30" customHeight="1">
      <x:c r="A1467" s="83" t="str">
        <x:v>ACT-001-roster.003</x:v>
      </x:c>
      <x:c r="B1467" s="83" t="n">
        <x:v>1</x:v>
      </x:c>
      <x:c r="C1467" s="83" t="str">
        <x:v>Actual roster</x:v>
      </x:c>
      <x:c r="D1467" s="84" t="str">
        <x:v>roster.003</x:v>
      </x:c>
      <x:c r="E1467" s="84" t="str">
        <x:v>Owen Pike</x:v>
      </x:c>
      <x:c r="F1467" s="84" t="str">
        <x:v>Confirmed from final text</x:v>
      </x:c>
    </x:row>
    <x:row r="1468" ht="30" customHeight="1">
      <x:c r="A1468" s="79" t="str">
        <x:v>ACT-001-roster.004</x:v>
      </x:c>
      <x:c r="B1468" s="79" t="n">
        <x:v>1</x:v>
      </x:c>
      <x:c r="C1468" s="79" t="str">
        <x:v>Actual roster</x:v>
      </x:c>
      <x:c r="D1468" s="80" t="str">
        <x:v>roster.004</x:v>
      </x:c>
      <x:c r="E1468" s="80" t="str">
        <x:v>Dane Mercer (not yet named to Kip)</x:v>
      </x:c>
      <x:c r="F1468" s="80" t="str">
        <x:v>Confirmed from final text</x:v>
      </x:c>
    </x:row>
    <x:row r="1469" ht="30" customHeight="1">
      <x:c r="A1469" s="83" t="str">
        <x:v>ACT-001-roster.005</x:v>
      </x:c>
      <x:c r="B1469" s="83" t="n">
        <x:v>1</x:v>
      </x:c>
      <x:c r="C1469" s="83" t="str">
        <x:v>Actual roster</x:v>
      </x:c>
      <x:c r="D1469" s="84" t="str">
        <x:v>roster.005</x:v>
      </x:c>
      <x:c r="E1469" s="84" t="str">
        <x:v>Jory Hale</x:v>
      </x:c>
      <x:c r="F1469" s="84" t="str">
        <x:v>Confirmed from final text</x:v>
      </x:c>
    </x:row>
    <x:row r="1470" ht="30" customHeight="1">
      <x:c r="A1470" s="79" t="str">
        <x:v>ACT-001-abilities.Kip.Dominion Sight.rank</x:v>
      </x:c>
      <x:c r="B1470" s="79" t="n">
        <x:v>1</x:v>
      </x:c>
      <x:c r="C1470" s="79" t="str">
        <x:v>Actual abilities</x:v>
      </x:c>
      <x:c r="D1470" s="80" t="str">
        <x:v>abilities.Kip.Dominion Sight.rank</x:v>
      </x:c>
      <x:c r="E1470" s="80" t="n">
        <x:v>1</x:v>
      </x:c>
      <x:c r="F1470" s="80" t="str">
        <x:v>Confirmed from final text</x:v>
      </x:c>
    </x:row>
    <x:row r="1471" ht="30" customHeight="1">
      <x:c r="A1471" s="83" t="str">
        <x:v>ACT-001-abilities.Kip.Dominion Sight.cost</x:v>
      </x:c>
      <x:c r="B1471" s="83" t="n">
        <x:v>1</x:v>
      </x:c>
      <x:c r="C1471" s="83" t="str">
        <x:v>Actual abilities</x:v>
      </x:c>
      <x:c r="D1471" s="84" t="str">
        <x:v>abilities.Kip.Dominion Sight.cost</x:v>
      </x:c>
      <x:c r="E1471" s="84" t="n">
        <x:v>0</x:v>
      </x:c>
      <x:c r="F1471" s="84" t="str">
        <x:v>Confirmed from final text</x:v>
      </x:c>
    </x:row>
    <x:row r="1472" ht="32" customHeight="1">
      <x:c r="A1472" s="79" t="str">
        <x:v>ACT-001-abilities.Kip.Dominion Sight.inspection_seconds</x:v>
      </x:c>
      <x:c r="B1472" s="79" t="n">
        <x:v>1</x:v>
      </x:c>
      <x:c r="C1472" s="79" t="str">
        <x:v>Actual abilities</x:v>
      </x:c>
      <x:c r="D1472" s="80" t="str">
        <x:v>abilities.Kip.Dominion Sight.inspection_seconds</x:v>
      </x:c>
      <x:c r="E1472" s="80" t="n">
        <x:v>1</x:v>
      </x:c>
      <x:c r="F1472" s="80" t="str">
        <x:v>Confirmed from final text</x:v>
      </x:c>
    </x:row>
    <x:row r="1473" ht="32" customHeight="1">
      <x:c r="A1473" s="83" t="str">
        <x:v>ACT-001-abilities.Kip.Dominion Sight.range_metres</x:v>
      </x:c>
      <x:c r="B1473" s="83" t="n">
        <x:v>1</x:v>
      </x:c>
      <x:c r="C1473" s="83" t="str">
        <x:v>Actual abilities</x:v>
      </x:c>
      <x:c r="D1473" s="84" t="str">
        <x:v>abilities.Kip.Dominion Sight.range_metres</x:v>
      </x:c>
      <x:c r="E1473" s="84" t="n">
        <x:v>10</x:v>
      </x:c>
      <x:c r="F1473" s="84" t="str">
        <x:v>Confirmed from final text</x:v>
      </x:c>
    </x:row>
    <x:row r="1474" ht="30" customHeight="1">
      <x:c r="A1474" s="79" t="str">
        <x:v>ACT-001-abilities.Kip.Dominion Sight.targets</x:v>
      </x:c>
      <x:c r="B1474" s="79" t="n">
        <x:v>1</x:v>
      </x:c>
      <x:c r="C1474" s="79" t="str">
        <x:v>Actual abilities</x:v>
      </x:c>
      <x:c r="D1474" s="80" t="str">
        <x:v>abilities.Kip.Dominion Sight.targets</x:v>
      </x:c>
      <x:c r="E1474" s="80" t="str">
        <x:v>Visible dungeon fixtures and Claim anchors; not people, hidden objects or private panels.</x:v>
      </x:c>
      <x:c r="F1474" s="80" t="str">
        <x:v>Confirmed from final text</x:v>
      </x:c>
    </x:row>
    <x:row r="1475" ht="30" customHeight="1">
      <x:c r="A1475" s="83" t="str">
        <x:v>ACT-001-abilities.Kip.Override.rank</x:v>
      </x:c>
      <x:c r="B1475" s="83" t="n">
        <x:v>1</x:v>
      </x:c>
      <x:c r="C1475" s="83" t="str">
        <x:v>Actual abilities</x:v>
      </x:c>
      <x:c r="D1475" s="84" t="str">
        <x:v>abilities.Kip.Override.rank</x:v>
      </x:c>
      <x:c r="E1475" s="84" t="n">
        <x:v>1</x:v>
      </x:c>
      <x:c r="F1475" s="84" t="str">
        <x:v>Confirmed from final text</x:v>
      </x:c>
    </x:row>
    <x:row r="1476" ht="30" customHeight="1">
      <x:c r="A1476" s="79" t="str">
        <x:v>ACT-001-abilities.Kip.Override.cost</x:v>
      </x:c>
      <x:c r="B1476" s="79" t="n">
        <x:v>1</x:v>
      </x:c>
      <x:c r="C1476" s="79" t="str">
        <x:v>Actual abilities</x:v>
      </x:c>
      <x:c r="D1476" s="80" t="str">
        <x:v>abilities.Kip.Override.cost</x:v>
      </x:c>
      <x:c r="E1476" s="80" t="n">
        <x:v>10</x:v>
      </x:c>
      <x:c r="F1476" s="80" t="str">
        <x:v>Confirmed from final text</x:v>
      </x:c>
    </x:row>
    <x:row r="1477" ht="30" customHeight="1">
      <x:c r="A1477" s="83" t="str">
        <x:v>ACT-001-abilities.Kip.Override.range_metres</x:v>
      </x:c>
      <x:c r="B1477" s="83" t="n">
        <x:v>1</x:v>
      </x:c>
      <x:c r="C1477" s="83" t="str">
        <x:v>Actual abilities</x:v>
      </x:c>
      <x:c r="D1477" s="84" t="str">
        <x:v>abilities.Kip.Override.range_metres</x:v>
      </x:c>
      <x:c r="E1477" s="84" t="n">
        <x:v>10</x:v>
      </x:c>
      <x:c r="F1477" s="84" t="str">
        <x:v>Confirmed from final text</x:v>
      </x:c>
    </x:row>
    <x:row r="1478" ht="32" customHeight="1">
      <x:c r="A1478" s="79" t="str">
        <x:v>ACT-001-abilities.Kip.Override.duration_seconds</x:v>
      </x:c>
      <x:c r="B1478" s="79" t="n">
        <x:v>1</x:v>
      </x:c>
      <x:c r="C1478" s="79" t="str">
        <x:v>Actual abilities</x:v>
      </x:c>
      <x:c r="D1478" s="80" t="str">
        <x:v>abilities.Kip.Override.duration_seconds</x:v>
      </x:c>
      <x:c r="E1478" s="80" t="n">
        <x:v>5</x:v>
      </x:c>
      <x:c r="F1478" s="80" t="str">
        <x:v>Confirmed from final text</x:v>
      </x:c>
    </x:row>
    <x:row r="1479" ht="32" customHeight="1">
      <x:c r="A1479" s="83" t="str">
        <x:v>ACT-001-abilities.Kip.Override.same_fixture_cooldown_after_control_seconds</x:v>
      </x:c>
      <x:c r="B1479" s="83" t="n">
        <x:v>1</x:v>
      </x:c>
      <x:c r="C1479" s="83" t="str">
        <x:v>Actual abilities</x:v>
      </x:c>
      <x:c r="D1479" s="84" t="str">
        <x:v>abilities.Kip.Override.same_fixture_cooldown_after_control_seconds</x:v>
      </x:c>
      <x:c r="E1479" s="84" t="n">
        <x:v>15</x:v>
      </x:c>
      <x:c r="F1479" s="84" t="str">
        <x:v>Confirmed from final text</x:v>
      </x:c>
    </x:row>
    <x:row r="1480" ht="30" customHeight="1">
      <x:c r="A1480" s="79" t="str">
        <x:v>ACT-001-abilities.Kip.Override.active_limit</x:v>
      </x:c>
      <x:c r="B1480" s="79" t="n">
        <x:v>1</x:v>
      </x:c>
      <x:c r="C1480" s="79" t="str">
        <x:v>Actual abilities</x:v>
      </x:c>
      <x:c r="D1480" s="80" t="str">
        <x:v>abilities.Kip.Override.active_limit</x:v>
      </x:c>
      <x:c r="E1480" s="80" t="n">
        <x:v>1</x:v>
      </x:c>
      <x:c r="F1480" s="80" t="str">
        <x:v>Confirmed from final text</x:v>
      </x:c>
    </x:row>
    <x:row r="1481" ht="32" customHeight="1">
      <x:c r="A1481" s="83" t="str">
        <x:v>ACT-001-abilities.Kip.Override.limits</x:v>
      </x:c>
      <x:c r="B1481" s="83" t="n">
        <x:v>1</x:v>
      </x:c>
      <x:c r="C1481" s="83" t="str">
        <x:v>Actual abilities</x:v>
      </x:c>
      <x:c r="D1481" s="84" t="str">
        <x:v>abilities.Kip.Override.limits</x:v>
      </x:c>
      <x:c r="E1481" s="84" t="str">
        <x:v>Available visible constructed defense; normal arc, fuel and reset. No creation, reload, repair or body control.</x:v>
      </x:c>
      <x:c r="F1481" s="84" t="str">
        <x:v>Confirmed from final text</x:v>
      </x:c>
    </x:row>
    <x:row r="1482" ht="30" customHeight="1">
      <x:c r="A1482" s="79" t="str">
        <x:v>ACT-001-abilities.Kip.Override.actual_use</x:v>
      </x:c>
      <x:c r="B1482" s="79" t="n">
        <x:v>1</x:v>
      </x:c>
      <x:c r="C1482" s="79" t="str">
        <x:v>Actual abilities</x:v>
      </x:c>
      <x:c r="D1482" s="80" t="str">
        <x:v>abilities.Kip.Override.actual_use</x:v>
      </x:c>
      <x:c r="E1482" s="80" t="str">
        <x:v>One launcher activation; one bolt spent. Control ended; exact elapsed cooldown is not printed.</x:v>
      </x:c>
      <x:c r="F1482" s="80" t="str">
        <x:v>Confirmed from final text</x:v>
      </x:c>
    </x:row>
    <x:row r="1483" ht="30" customHeight="1">
      <x:c r="A1483" s="83" t="str">
        <x:v>ACT-001-abilities.Kip.Claim Room.rank</x:v>
      </x:c>
      <x:c r="B1483" s="83" t="n">
        <x:v>1</x:v>
      </x:c>
      <x:c r="C1483" s="83" t="str">
        <x:v>Actual abilities</x:v>
      </x:c>
      <x:c r="D1483" s="84" t="str">
        <x:v>abilities.Kip.Claim Room.rank</x:v>
      </x:c>
      <x:c r="E1483" s="84" t="n">
        <x:v>1</x:v>
      </x:c>
      <x:c r="F1483" s="84" t="str">
        <x:v>Confirmed from final text</x:v>
      </x:c>
    </x:row>
    <x:row r="1484" ht="30" customHeight="1">
      <x:c r="A1484" s="79" t="str">
        <x:v>ACT-001-abilities.Kip.Claim Room.cost</x:v>
      </x:c>
      <x:c r="B1484" s="79" t="n">
        <x:v>1</x:v>
      </x:c>
      <x:c r="C1484" s="79" t="str">
        <x:v>Actual abilities</x:v>
      </x:c>
      <x:c r="D1484" s="80" t="str">
        <x:v>abilities.Kip.Claim Room.cost</x:v>
      </x:c>
      <x:c r="E1484" s="80" t="n">
        <x:v>20</x:v>
      </x:c>
      <x:c r="F1484" s="80" t="str">
        <x:v>Confirmed from final text</x:v>
      </x:c>
    </x:row>
    <x:row r="1485" ht="30" customHeight="1">
      <x:c r="A1485" s="83" t="str">
        <x:v>ACT-001-abilities.Kip.Claim Room.touch_seconds</x:v>
      </x:c>
      <x:c r="B1485" s="83" t="n">
        <x:v>1</x:v>
      </x:c>
      <x:c r="C1485" s="83" t="str">
        <x:v>Actual abilities</x:v>
      </x:c>
      <x:c r="D1485" s="84" t="str">
        <x:v>abilities.Kip.Claim Room.touch_seconds</x:v>
      </x:c>
      <x:c r="E1485" s="84" t="n">
        <x:v>30</x:v>
      </x:c>
      <x:c r="F1485" s="84" t="str">
        <x:v>Confirmed from final text</x:v>
      </x:c>
    </x:row>
    <x:row r="1486" ht="32" customHeight="1">
      <x:c r="A1486" s="79" t="str">
        <x:v>ACT-001-abilities.Kip.Claim Room.room_max_metres</x:v>
      </x:c>
      <x:c r="B1486" s="79" t="n">
        <x:v>1</x:v>
      </x:c>
      <x:c r="C1486" s="79" t="str">
        <x:v>Actual abilities</x:v>
      </x:c>
      <x:c r="D1486" s="80" t="str">
        <x:v>abilities.Kip.Claim Room.room_max_metres</x:v>
      </x:c>
      <x:c r="E1486" s="80" t="n">
        <x:v>20</x:v>
      </x:c>
      <x:c r="F1486" s="80" t="str">
        <x:v>Confirmed from final text</x:v>
      </x:c>
    </x:row>
    <x:row r="1487" ht="30" customHeight="1">
      <x:c r="A1487" s="83" t="str">
        <x:v>ACT-001-abilities.Kip.Claim Room.capacity</x:v>
      </x:c>
      <x:c r="B1487" s="83" t="n">
        <x:v>1</x:v>
      </x:c>
      <x:c r="C1487" s="83" t="str">
        <x:v>Actual abilities</x:v>
      </x:c>
      <x:c r="D1487" s="84" t="str">
        <x:v>abilities.Kip.Claim Room.capacity</x:v>
      </x:c>
      <x:c r="E1487" s="84" t="n">
        <x:v>1</x:v>
      </x:c>
      <x:c r="F1487" s="84" t="str">
        <x:v>Confirmed from final text</x:v>
      </x:c>
    </x:row>
    <x:row r="1488" ht="32" customHeight="1">
      <x:c r="A1488" s="79" t="str">
        <x:v>ACT-001-abilities.Kip.Claim Room.limits</x:v>
      </x:c>
      <x:c r="B1488" s="79" t="n">
        <x:v>1</x:v>
      </x:c>
      <x:c r="C1488" s="79" t="str">
        <x:v>Actual abilities</x:v>
      </x:c>
      <x:c r="D1488" s="80" t="str">
        <x:v>abilities.Kip.Claim Room.limits</x:v>
      </x:c>
      <x:c r="E1488" s="80" t="str">
        <x:v>Intact Claimable anchor; guardian defeated, seal absent, no living hostiles inside. Interruptions spend paid Mana. No automatic healing or barrier.</x:v>
      </x:c>
      <x:c r="F1488" s="80" t="str">
        <x:v>Confirmed from final text</x:v>
      </x:c>
    </x:row>
    <x:row r="1489" ht="30" customHeight="1">
      <x:c r="A1489" s="83" t="str">
        <x:v>ACT-001-abilities.Kip.Claim Room.actual_use</x:v>
      </x:c>
      <x:c r="B1489" s="83" t="n">
        <x:v>1</x:v>
      </x:c>
      <x:c r="C1489" s="83" t="str">
        <x:v>Actual abilities</x:v>
      </x:c>
      <x:c r="D1489" s="84" t="str">
        <x:v>abilities.Kip.Claim Room.actual_use</x:v>
      </x:c>
      <x:c r="E1489" s="84" t="str">
        <x:v>Available but unused.</x:v>
      </x:c>
      <x:c r="F1489" s="84" t="str">
        <x:v>Confirmed from final text</x:v>
      </x:c>
    </x:row>
    <x:row r="1490" ht="30" customHeight="1">
      <x:c r="A1490" s="79" t="str">
        <x:v>ACT-001-abilities.Tessa.Quickstep.rank</x:v>
      </x:c>
      <x:c r="B1490" s="79" t="n">
        <x:v>1</x:v>
      </x:c>
      <x:c r="C1490" s="79" t="str">
        <x:v>Actual abilities</x:v>
      </x:c>
      <x:c r="D1490" s="80" t="str">
        <x:v>abilities.Tessa.Quickstep.rank</x:v>
      </x:c>
      <x:c r="E1490" s="80" t="n">
        <x:v>2</x:v>
      </x:c>
      <x:c r="F1490" s="80" t="str">
        <x:v>Confirmed from final text</x:v>
      </x:c>
    </x:row>
    <x:row r="1491" ht="30" customHeight="1">
      <x:c r="A1491" s="83" t="str">
        <x:v>ACT-001-abilities.Tessa.Quickstep.cost</x:v>
      </x:c>
      <x:c r="B1491" s="83" t="n">
        <x:v>1</x:v>
      </x:c>
      <x:c r="C1491" s="83" t="str">
        <x:v>Actual abilities</x:v>
      </x:c>
      <x:c r="D1491" s="84" t="str">
        <x:v>abilities.Tessa.Quickstep.cost</x:v>
      </x:c>
      <x:c r="E1491" s="84" t="n">
        <x:v>10</x:v>
      </x:c>
      <x:c r="F1491" s="84" t="str">
        <x:v>Confirmed from final text</x:v>
      </x:c>
    </x:row>
    <x:row r="1492" ht="32" customHeight="1">
      <x:c r="A1492" s="79" t="str">
        <x:v>ACT-001-abilities.Tessa.Quickstep.cooldown_seconds</x:v>
      </x:c>
      <x:c r="B1492" s="79" t="n">
        <x:v>1</x:v>
      </x:c>
      <x:c r="C1492" s="79" t="str">
        <x:v>Actual abilities</x:v>
      </x:c>
      <x:c r="D1492" s="80" t="str">
        <x:v>abilities.Tessa.Quickstep.cooldown_seconds</x:v>
      </x:c>
      <x:c r="E1492" s="80" t="n">
        <x:v>15</x:v>
      </x:c>
      <x:c r="F1492" s="80" t="str">
        <x:v>Confirmed from final text</x:v>
      </x:c>
    </x:row>
    <x:row r="1493" ht="32" customHeight="1">
      <x:c r="A1493" s="83" t="str">
        <x:v>ACT-001-abilities.Tessa.Quickstep.distance_metres</x:v>
      </x:c>
      <x:c r="B1493" s="83" t="n">
        <x:v>1</x:v>
      </x:c>
      <x:c r="C1493" s="83" t="str">
        <x:v>Actual abilities</x:v>
      </x:c>
      <x:c r="D1493" s="84" t="str">
        <x:v>abilities.Tessa.Quickstep.distance_metres</x:v>
      </x:c>
      <x:c r="E1493" s="84" t="n">
        <x:v>12</x:v>
      </x:c>
      <x:c r="F1493" s="84" t="str">
        <x:v>Confirmed from final text</x:v>
      </x:c>
    </x:row>
    <x:row r="1494" ht="32" customHeight="1">
      <x:c r="A1494" s="79" t="str">
        <x:v>ACT-001-abilities.Tessa.Quickstep.duration_seconds</x:v>
      </x:c>
      <x:c r="B1494" s="79" t="n">
        <x:v>1</x:v>
      </x:c>
      <x:c r="C1494" s="79" t="str">
        <x:v>Actual abilities</x:v>
      </x:c>
      <x:c r="D1494" s="80" t="str">
        <x:v>abilities.Tessa.Quickstep.duration_seconds</x:v>
      </x:c>
      <x:c r="E1494" s="80" t="n">
        <x:v>1</x:v>
      </x:c>
      <x:c r="F1494" s="80" t="str">
        <x:v>Confirmed from final text</x:v>
      </x:c>
    </x:row>
    <x:row r="1495" ht="30" customHeight="1">
      <x:c r="A1495" s="83" t="str">
        <x:v>ACT-001-abilities.Tessa.Quickstep.limits</x:v>
      </x:c>
      <x:c r="B1495" s="83" t="n">
        <x:v>1</x:v>
      </x:c>
      <x:c r="C1495" s="83" t="str">
        <x:v>Actual abilities</x:v>
      </x:c>
      <x:c r="D1495" s="84" t="str">
        <x:v>abilities.Tessa.Quickstep.limits</x:v>
      </x:c>
      <x:c r="E1495" s="84" t="str">
        <x:v>Traversable physical route; no teleport, impossible gap or carrying another adult.</x:v>
      </x:c>
      <x:c r="F1495" s="84" t="str">
        <x:v>Confirmed from final text</x:v>
      </x:c>
    </x:row>
    <x:row r="1496" ht="30" customHeight="1">
      <x:c r="A1496" s="79" t="str">
        <x:v>ACT-001-abilities.Tessa.Quickstep.actual_use</x:v>
      </x:c>
      <x:c r="B1496" s="79" t="n">
        <x:v>1</x:v>
      </x:c>
      <x:c r="C1496" s="79" t="str">
        <x:v>Actual abilities</x:v>
      </x:c>
      <x:c r="D1496" s="80" t="str">
        <x:v>abilities.Tessa.Quickstep.actual_use</x:v>
      </x:c>
      <x:c r="E1496" s="80" t="str">
        <x:v>One paid use after Kip arrives.</x:v>
      </x:c>
      <x:c r="F1496" s="80" t="str">
        <x:v>Confirmed from final text</x:v>
      </x:c>
    </x:row>
    <x:row r="1497" ht="30" customHeight="1">
      <x:c r="A1497" s="83" t="str">
        <x:v>ACT-001-abilities.Tessa.Trail Sight.rank</x:v>
      </x:c>
      <x:c r="B1497" s="83" t="n">
        <x:v>1</x:v>
      </x:c>
      <x:c r="C1497" s="83" t="str">
        <x:v>Actual abilities</x:v>
      </x:c>
      <x:c r="D1497" s="84" t="str">
        <x:v>abilities.Tessa.Trail Sight.rank</x:v>
      </x:c>
      <x:c r="E1497" s="84" t="n">
        <x:v>2</x:v>
      </x:c>
      <x:c r="F1497" s="84" t="str">
        <x:v>Confirmed from final text</x:v>
      </x:c>
    </x:row>
    <x:row r="1498" ht="30" customHeight="1">
      <x:c r="A1498" s="79" t="str">
        <x:v>ACT-001-abilities.Tessa.Trail Sight.cost</x:v>
      </x:c>
      <x:c r="B1498" s="79" t="n">
        <x:v>1</x:v>
      </x:c>
      <x:c r="C1498" s="79" t="str">
        <x:v>Actual abilities</x:v>
      </x:c>
      <x:c r="D1498" s="80" t="str">
        <x:v>abilities.Tessa.Trail Sight.cost</x:v>
      </x:c>
      <x:c r="E1498" s="80" t="n">
        <x:v>15</x:v>
      </x:c>
      <x:c r="F1498" s="80" t="str">
        <x:v>Confirmed from final text</x:v>
      </x:c>
    </x:row>
    <x:row r="1499" ht="32" customHeight="1">
      <x:c r="A1499" s="83" t="str">
        <x:v>ACT-001-abilities.Tessa.Trail Sight.cooldown_seconds</x:v>
      </x:c>
      <x:c r="B1499" s="83" t="n">
        <x:v>1</x:v>
      </x:c>
      <x:c r="C1499" s="83" t="str">
        <x:v>Actual abilities</x:v>
      </x:c>
      <x:c r="D1499" s="84" t="str">
        <x:v>abilities.Tessa.Trail Sight.cooldown_seconds</x:v>
      </x:c>
      <x:c r="E1499" s="84" t="n">
        <x:v>45</x:v>
      </x:c>
      <x:c r="F1499" s="84" t="str">
        <x:v>Confirmed from final text</x:v>
      </x:c>
    </x:row>
    <x:row r="1500" ht="32" customHeight="1">
      <x:c r="A1500" s="79" t="str">
        <x:v>ACT-001-abilities.Tessa.Trail Sight.duration_seconds</x:v>
      </x:c>
      <x:c r="B1500" s="79" t="n">
        <x:v>1</x:v>
      </x:c>
      <x:c r="C1500" s="79" t="str">
        <x:v>Actual abilities</x:v>
      </x:c>
      <x:c r="D1500" s="80" t="str">
        <x:v>abilities.Tessa.Trail Sight.duration_seconds</x:v>
      </x:c>
      <x:c r="E1500" s="80" t="n">
        <x:v>30</x:v>
      </x:c>
      <x:c r="F1500" s="80" t="str">
        <x:v>Confirmed from final text</x:v>
      </x:c>
    </x:row>
    <x:row r="1501" ht="32" customHeight="1">
      <x:c r="A1501" s="83" t="str">
        <x:v>ACT-001-abilities.Tessa.Trail Sight.range_metres</x:v>
      </x:c>
      <x:c r="B1501" s="83" t="n">
        <x:v>1</x:v>
      </x:c>
      <x:c r="C1501" s="83" t="str">
        <x:v>Actual abilities</x:v>
      </x:c>
      <x:c r="D1501" s="84" t="str">
        <x:v>abilities.Tessa.Trail Sight.range_metres</x:v>
      </x:c>
      <x:c r="E1501" s="84" t="n">
        <x:v>25</x:v>
      </x:c>
      <x:c r="F1501" s="84" t="str">
        <x:v>Confirmed from final text</x:v>
      </x:c>
    </x:row>
    <x:row r="1502" ht="32" customHeight="1">
      <x:c r="A1502" s="79" t="str">
        <x:v>ACT-001-abilities.Tessa.Trail Sight.track_age_max_hours</x:v>
      </x:c>
      <x:c r="B1502" s="79" t="n">
        <x:v>1</x:v>
      </x:c>
      <x:c r="C1502" s="79" t="str">
        <x:v>Actual abilities</x:v>
      </x:c>
      <x:c r="D1502" s="80" t="str">
        <x:v>abilities.Tessa.Trail Sight.track_age_max_hours</x:v>
      </x:c>
      <x:c r="E1502" s="80" t="n">
        <x:v>2</x:v>
      </x:c>
      <x:c r="F1502" s="80" t="str">
        <x:v>Confirmed from final text</x:v>
      </x:c>
    </x:row>
    <x:row r="1503" ht="30" customHeight="1">
      <x:c r="A1503" s="83" t="str">
        <x:v>ACT-001-abilities.Tessa.Trail Sight.limits</x:v>
      </x:c>
      <x:c r="B1503" s="83" t="n">
        <x:v>1</x:v>
      </x:c>
      <x:c r="C1503" s="83" t="str">
        <x:v>Actual abilities</x:v>
      </x:c>
      <x:c r="D1503" s="84" t="str">
        <x:v>abilities.Tessa.Trail Sight.limits</x:v>
      </x:c>
      <x:c r="E1503" s="84" t="str">
        <x:v>Visible surviving traces from inspected source; no live location, thoughts or walls.</x:v>
      </x:c>
      <x:c r="F1503" s="84" t="str">
        <x:v>Confirmed from final text</x:v>
      </x:c>
    </x:row>
    <x:row r="1504" ht="30" customHeight="1">
      <x:c r="A1504" s="79" t="str">
        <x:v>ACT-001-abilities.Tessa.Trail Sight.actual_use</x:v>
      </x:c>
      <x:c r="B1504" s="79" t="n">
        <x:v>1</x:v>
      </x:c>
      <x:c r="C1504" s="79" t="str">
        <x:v>Actual abilities</x:v>
      </x:c>
      <x:c r="D1504" s="80" t="str">
        <x:v>abilities.Tessa.Trail Sight.actual_use</x:v>
      </x:c>
      <x:c r="E1504" s="80" t="str">
        <x:v>Not used after Kip arrives.</x:v>
      </x:c>
      <x:c r="F1504" s="80" t="str">
        <x:v>Confirmed from final text</x:v>
      </x:c>
    </x:row>
    <x:row r="1505" ht="30" customHeight="1">
      <x:c r="A1505" s="83" t="str">
        <x:v>ACT-001-abilities.Owen.Staunch.rank</x:v>
      </x:c>
      <x:c r="B1505" s="83" t="n">
        <x:v>1</x:v>
      </x:c>
      <x:c r="C1505" s="83" t="str">
        <x:v>Actual abilities</x:v>
      </x:c>
      <x:c r="D1505" s="84" t="str">
        <x:v>abilities.Owen.Staunch.rank</x:v>
      </x:c>
      <x:c r="E1505" s="84" t="n">
        <x:v>2</x:v>
      </x:c>
      <x:c r="F1505" s="84" t="str">
        <x:v>Confirmed from final text</x:v>
      </x:c>
    </x:row>
    <x:row r="1506" ht="30" customHeight="1">
      <x:c r="A1506" s="79" t="str">
        <x:v>ACT-001-abilities.Owen.Staunch.cost</x:v>
      </x:c>
      <x:c r="B1506" s="79" t="n">
        <x:v>1</x:v>
      </x:c>
      <x:c r="C1506" s="79" t="str">
        <x:v>Actual abilities</x:v>
      </x:c>
      <x:c r="D1506" s="80" t="str">
        <x:v>abilities.Owen.Staunch.cost</x:v>
      </x:c>
      <x:c r="E1506" s="80" t="n">
        <x:v>10</x:v>
      </x:c>
      <x:c r="F1506" s="80" t="str">
        <x:v>Confirmed from final text</x:v>
      </x:c>
    </x:row>
    <x:row r="1507" ht="32" customHeight="1">
      <x:c r="A1507" s="83" t="str">
        <x:v>ACT-001-abilities.Owen.Staunch.cooldown_seconds</x:v>
      </x:c>
      <x:c r="B1507" s="83" t="n">
        <x:v>1</x:v>
      </x:c>
      <x:c r="C1507" s="83" t="str">
        <x:v>Actual abilities</x:v>
      </x:c>
      <x:c r="D1507" s="84" t="str">
        <x:v>abilities.Owen.Staunch.cooldown_seconds</x:v>
      </x:c>
      <x:c r="E1507" s="84" t="n">
        <x:v>15</x:v>
      </x:c>
      <x:c r="F1507" s="84" t="str">
        <x:v>Confirmed from final text</x:v>
      </x:c>
    </x:row>
    <x:row r="1508" ht="30" customHeight="1">
      <x:c r="A1508" s="79" t="str">
        <x:v>ACT-001-abilities.Owen.Staunch.touch_seconds</x:v>
      </x:c>
      <x:c r="B1508" s="79" t="n">
        <x:v>1</x:v>
      </x:c>
      <x:c r="C1508" s="79" t="str">
        <x:v>Actual abilities</x:v>
      </x:c>
      <x:c r="D1508" s="80" t="str">
        <x:v>abilities.Owen.Staunch.touch_seconds</x:v>
      </x:c>
      <x:c r="E1508" s="80" t="n">
        <x:v>5</x:v>
      </x:c>
      <x:c r="F1508" s="80" t="str">
        <x:v>Confirmed from final text</x:v>
      </x:c>
    </x:row>
    <x:row r="1509" ht="30" customHeight="1">
      <x:c r="A1509" s="83" t="str">
        <x:v>ACT-001-abilities.Owen.Staunch.seal_minutes</x:v>
      </x:c>
      <x:c r="B1509" s="83" t="n">
        <x:v>1</x:v>
      </x:c>
      <x:c r="C1509" s="83" t="str">
        <x:v>Actual abilities</x:v>
      </x:c>
      <x:c r="D1509" s="84" t="str">
        <x:v>abilities.Owen.Staunch.seal_minutes</x:v>
      </x:c>
      <x:c r="E1509" s="84" t="n">
        <x:v>40</x:v>
      </x:c>
      <x:c r="F1509" s="84" t="str">
        <x:v>Confirmed from final text</x:v>
      </x:c>
    </x:row>
    <x:row r="1510" ht="30" customHeight="1">
      <x:c r="A1510" s="79" t="str">
        <x:v>ACT-001-abilities.Owen.Staunch.limits</x:v>
      </x:c>
      <x:c r="B1510" s="79" t="n">
        <x:v>1</x:v>
      </x:c>
      <x:c r="C1510" s="79" t="str">
        <x:v>Actual abilities</x:v>
      </x:c>
      <x:c r="D1510" s="80" t="str">
        <x:v>abilities.Owen.Staunch.limits</x:v>
      </x:c>
      <x:c r="E1510" s="80" t="str">
        <x:v>One external wound; no blood replacement, internal healing or revival; strain or blow can break seal.</x:v>
      </x:c>
      <x:c r="F1510" s="80" t="str">
        <x:v>Confirmed from final text</x:v>
      </x:c>
    </x:row>
    <x:row r="1511" ht="30" customHeight="1">
      <x:c r="A1511" s="83" t="str">
        <x:v>ACT-001-abilities.Owen.Mend.rank</x:v>
      </x:c>
      <x:c r="B1511" s="83" t="n">
        <x:v>1</x:v>
      </x:c>
      <x:c r="C1511" s="83" t="str">
        <x:v>Actual abilities</x:v>
      </x:c>
      <x:c r="D1511" s="84" t="str">
        <x:v>abilities.Owen.Mend.rank</x:v>
      </x:c>
      <x:c r="E1511" s="84" t="n">
        <x:v>2</x:v>
      </x:c>
      <x:c r="F1511" s="84" t="str">
        <x:v>Confirmed from final text</x:v>
      </x:c>
    </x:row>
    <x:row r="1512" ht="30" customHeight="1">
      <x:c r="A1512" s="79" t="str">
        <x:v>ACT-001-abilities.Owen.Mend.cost</x:v>
      </x:c>
      <x:c r="B1512" s="79" t="n">
        <x:v>1</x:v>
      </x:c>
      <x:c r="C1512" s="79" t="str">
        <x:v>Actual abilities</x:v>
      </x:c>
      <x:c r="D1512" s="80" t="str">
        <x:v>abilities.Owen.Mend.cost</x:v>
      </x:c>
      <x:c r="E1512" s="80" t="n">
        <x:v>20</x:v>
      </x:c>
      <x:c r="F1512" s="80" t="str">
        <x:v>Confirmed from final text</x:v>
      </x:c>
    </x:row>
    <x:row r="1513" ht="30" customHeight="1">
      <x:c r="A1513" s="83" t="str">
        <x:v>ACT-001-abilities.Owen.Mend.cooldown_seconds</x:v>
      </x:c>
      <x:c r="B1513" s="83" t="n">
        <x:v>1</x:v>
      </x:c>
      <x:c r="C1513" s="83" t="str">
        <x:v>Actual abilities</x:v>
      </x:c>
      <x:c r="D1513" s="84" t="str">
        <x:v>abilities.Owen.Mend.cooldown_seconds</x:v>
      </x:c>
      <x:c r="E1513" s="84" t="n">
        <x:v>60</x:v>
      </x:c>
      <x:c r="F1513" s="84" t="str">
        <x:v>Confirmed from final text</x:v>
      </x:c>
    </x:row>
    <x:row r="1514" ht="30" customHeight="1">
      <x:c r="A1514" s="79" t="str">
        <x:v>ACT-001-abilities.Owen.Mend.touch_seconds</x:v>
      </x:c>
      <x:c r="B1514" s="79" t="n">
        <x:v>1</x:v>
      </x:c>
      <x:c r="C1514" s="79" t="str">
        <x:v>Actual abilities</x:v>
      </x:c>
      <x:c r="D1514" s="80" t="str">
        <x:v>abilities.Owen.Mend.touch_seconds</x:v>
      </x:c>
      <x:c r="E1514" s="80" t="n">
        <x:v>20</x:v>
      </x:c>
      <x:c r="F1514" s="80" t="str">
        <x:v>Confirmed from final text</x:v>
      </x:c>
    </x:row>
    <x:row r="1515" ht="32" customHeight="1">
      <x:c r="A1515" s="83" t="str">
        <x:v>ACT-001-abilities.Owen.Mend.wound_max_length_cm</x:v>
      </x:c>
      <x:c r="B1515" s="83" t="n">
        <x:v>1</x:v>
      </x:c>
      <x:c r="C1515" s="83" t="str">
        <x:v>Actual abilities</x:v>
      </x:c>
      <x:c r="D1515" s="84" t="str">
        <x:v>abilities.Owen.Mend.wound_max_length_cm</x:v>
      </x:c>
      <x:c r="E1515" s="84" t="n">
        <x:v>20</x:v>
      </x:c>
      <x:c r="F1515" s="84" t="str">
        <x:v>Confirmed from final text</x:v>
      </x:c>
    </x:row>
    <x:row r="1516" ht="30" customHeight="1">
      <x:c r="A1516" s="79" t="str">
        <x:v>ACT-001-abilities.Owen.Mend.wound_max_depth_cm</x:v>
      </x:c>
      <x:c r="B1516" s="79" t="n">
        <x:v>1</x:v>
      </x:c>
      <x:c r="C1516" s="79" t="str">
        <x:v>Actual abilities</x:v>
      </x:c>
      <x:c r="D1516" s="80" t="str">
        <x:v>abilities.Owen.Mend.wound_max_depth_cm</x:v>
      </x:c>
      <x:c r="E1516" s="80" t="n">
        <x:v>1</x:v>
      </x:c>
      <x:c r="F1516" s="80" t="str">
        <x:v>Confirmed from final text</x:v>
      </x:c>
    </x:row>
    <x:row r="1517" ht="30" customHeight="1">
      <x:c r="A1517" s="83" t="str">
        <x:v>ACT-001-abilities.Owen.Mend.limits</x:v>
      </x:c>
      <x:c r="B1517" s="83" t="n">
        <x:v>1</x:v>
      </x:c>
      <x:c r="C1517" s="83" t="str">
        <x:v>Actual abilities</x:v>
      </x:c>
      <x:c r="D1517" s="84" t="str">
        <x:v>abilities.Owen.Mend.limits</x:v>
      </x:c>
      <x:c r="E1517" s="84" t="str">
        <x:v>Aligned present skin and shallow muscle; no bone, organs, major vessels, nerves, regrowth or lost blood.</x:v>
      </x:c>
      <x:c r="F1517" s="84" t="str">
        <x:v>Confirmed from final text</x:v>
      </x:c>
    </x:row>
    <x:row r="1518" ht="30" customHeight="1">
      <x:c r="A1518" s="79" t="str">
        <x:v>ACT-001-abilities.Owen.Mend.actual_use</x:v>
      </x:c>
      <x:c r="B1518" s="79" t="n">
        <x:v>1</x:v>
      </x:c>
      <x:c r="C1518" s="79" t="str">
        <x:v>Actual abilities</x:v>
      </x:c>
      <x:c r="D1518" s="80" t="str">
        <x:v>abilities.Owen.Mend.actual_use</x:v>
      </x:c>
      <x:c r="E1518" s="80" t="str">
        <x:v>No cast after Kip arrives. Jory fracture persists.</x:v>
      </x:c>
      <x:c r="F1518" s="80" t="str">
        <x:v>Confirmed from final text</x:v>
      </x:c>
    </x:row>
    <x:row r="1519" ht="30" customHeight="1">
      <x:c r="A1519" s="83" t="str">
        <x:v>ACT-001-abilities.Dane.Interpose.rank</x:v>
      </x:c>
      <x:c r="B1519" s="83" t="n">
        <x:v>1</x:v>
      </x:c>
      <x:c r="C1519" s="83" t="str">
        <x:v>Actual abilities</x:v>
      </x:c>
      <x:c r="D1519" s="84" t="str">
        <x:v>abilities.Dane.Interpose.rank</x:v>
      </x:c>
      <x:c r="E1519" s="84" t="n">
        <x:v>2</x:v>
      </x:c>
      <x:c r="F1519" s="84" t="str">
        <x:v>Confirmed from final text</x:v>
      </x:c>
    </x:row>
    <x:row r="1520" ht="30" customHeight="1">
      <x:c r="A1520" s="79" t="str">
        <x:v>ACT-001-abilities.Dane.Interpose.cost</x:v>
      </x:c>
      <x:c r="B1520" s="79" t="n">
        <x:v>1</x:v>
      </x:c>
      <x:c r="C1520" s="79" t="str">
        <x:v>Actual abilities</x:v>
      </x:c>
      <x:c r="D1520" s="80" t="str">
        <x:v>abilities.Dane.Interpose.cost</x:v>
      </x:c>
      <x:c r="E1520" s="80" t="n">
        <x:v>15</x:v>
      </x:c>
      <x:c r="F1520" s="80" t="str">
        <x:v>Confirmed from final text</x:v>
      </x:c>
    </x:row>
    <x:row r="1521" ht="32" customHeight="1">
      <x:c r="A1521" s="83" t="str">
        <x:v>ACT-001-abilities.Dane.Interpose.cooldown_seconds</x:v>
      </x:c>
      <x:c r="B1521" s="83" t="n">
        <x:v>1</x:v>
      </x:c>
      <x:c r="C1521" s="83" t="str">
        <x:v>Actual abilities</x:v>
      </x:c>
      <x:c r="D1521" s="84" t="str">
        <x:v>abilities.Dane.Interpose.cooldown_seconds</x:v>
      </x:c>
      <x:c r="E1521" s="84" t="n">
        <x:v>15</x:v>
      </x:c>
      <x:c r="F1521" s="84" t="str">
        <x:v>Confirmed from final text</x:v>
      </x:c>
    </x:row>
    <x:row r="1522" ht="32" customHeight="1">
      <x:c r="A1522" s="79" t="str">
        <x:v>ACT-001-abilities.Dane.Interpose.distance_metres</x:v>
      </x:c>
      <x:c r="B1522" s="79" t="n">
        <x:v>1</x:v>
      </x:c>
      <x:c r="C1522" s="79" t="str">
        <x:v>Actual abilities</x:v>
      </x:c>
      <x:c r="D1522" s="80" t="str">
        <x:v>abilities.Dane.Interpose.distance_metres</x:v>
      </x:c>
      <x:c r="E1522" s="80" t="n">
        <x:v>8</x:v>
      </x:c>
      <x:c r="F1522" s="80" t="str">
        <x:v>Confirmed from final text</x:v>
      </x:c>
    </x:row>
    <x:row r="1523" ht="32" customHeight="1">
      <x:c r="A1523" s="83" t="str">
        <x:v>ACT-001-abilities.Dane.Interpose.block_window_seconds</x:v>
      </x:c>
      <x:c r="B1523" s="83" t="n">
        <x:v>1</x:v>
      </x:c>
      <x:c r="C1523" s="83" t="str">
        <x:v>Actual abilities</x:v>
      </x:c>
      <x:c r="D1523" s="84" t="str">
        <x:v>abilities.Dane.Interpose.block_window_seconds</x:v>
      </x:c>
      <x:c r="E1523" s="84" t="n">
        <x:v>3</x:v>
      </x:c>
      <x:c r="F1523" s="84" t="str">
        <x:v>Confirmed from final text</x:v>
      </x:c>
    </x:row>
    <x:row r="1524" ht="32" customHeight="1">
      <x:c r="A1524" s="79" t="str">
        <x:v>ACT-001-abilities.Dane.Interpose.block_strength_multiplier</x:v>
      </x:c>
      <x:c r="B1524" s="79" t="n">
        <x:v>1</x:v>
      </x:c>
      <x:c r="C1524" s="79" t="str">
        <x:v>Actual abilities</x:v>
      </x:c>
      <x:c r="D1524" s="80" t="str">
        <x:v>abilities.Dane.Interpose.block_strength_multiplier</x:v>
      </x:c>
      <x:c r="E1524" s="80" t="n">
        <x:v>2</x:v>
      </x:c>
      <x:c r="F1524" s="80" t="str">
        <x:v>Confirmed from final text</x:v>
      </x:c>
    </x:row>
    <x:row r="1525" ht="30" customHeight="1">
      <x:c r="A1525" s="83" t="str">
        <x:v>ACT-001-abilities.Dane.Interpose.limits</x:v>
      </x:c>
      <x:c r="B1525" s="83" t="n">
        <x:v>1</x:v>
      </x:c>
      <x:c r="C1525" s="83" t="str">
        <x:v>Actual abilities</x:v>
      </x:c>
      <x:c r="D1525" s="84" t="str">
        <x:v>abilities.Dane.Interpose.limits</x:v>
      </x:c>
      <x:c r="E1525" s="84" t="str">
        <x:v>Clear physical path to visible ally/threat; next deliberate block, not stronger bones or teleport.</x:v>
      </x:c>
      <x:c r="F1525" s="84" t="str">
        <x:v>Confirmed from final text</x:v>
      </x:c>
    </x:row>
    <x:row r="1526" ht="30" customHeight="1">
      <x:c r="A1526" s="79" t="str">
        <x:v>ACT-001-abilities.Dane.Bulwark.rank</x:v>
      </x:c>
      <x:c r="B1526" s="79" t="n">
        <x:v>1</x:v>
      </x:c>
      <x:c r="C1526" s="79" t="str">
        <x:v>Actual abilities</x:v>
      </x:c>
      <x:c r="D1526" s="80" t="str">
        <x:v>abilities.Dane.Bulwark.rank</x:v>
      </x:c>
      <x:c r="E1526" s="80" t="n">
        <x:v>2</x:v>
      </x:c>
      <x:c r="F1526" s="80" t="str">
        <x:v>Confirmed from final text</x:v>
      </x:c>
    </x:row>
    <x:row r="1527" ht="30" customHeight="1">
      <x:c r="A1527" s="83" t="str">
        <x:v>ACT-001-abilities.Dane.Bulwark.cost</x:v>
      </x:c>
      <x:c r="B1527" s="83" t="n">
        <x:v>1</x:v>
      </x:c>
      <x:c r="C1527" s="83" t="str">
        <x:v>Actual abilities</x:v>
      </x:c>
      <x:c r="D1527" s="84" t="str">
        <x:v>abilities.Dane.Bulwark.cost</x:v>
      </x:c>
      <x:c r="E1527" s="84" t="n">
        <x:v>20</x:v>
      </x:c>
      <x:c r="F1527" s="84" t="str">
        <x:v>Confirmed from final text</x:v>
      </x:c>
    </x:row>
    <x:row r="1528" ht="32" customHeight="1">
      <x:c r="A1528" s="79" t="str">
        <x:v>ACT-001-abilities.Dane.Bulwark.cooldown_seconds</x:v>
      </x:c>
      <x:c r="B1528" s="79" t="n">
        <x:v>1</x:v>
      </x:c>
      <x:c r="C1528" s="79" t="str">
        <x:v>Actual abilities</x:v>
      </x:c>
      <x:c r="D1528" s="80" t="str">
        <x:v>abilities.Dane.Bulwark.cooldown_seconds</x:v>
      </x:c>
      <x:c r="E1528" s="80" t="n">
        <x:v>45</x:v>
      </x:c>
      <x:c r="F1528" s="80" t="str">
        <x:v>Confirmed from final text</x:v>
      </x:c>
    </x:row>
    <x:row r="1529" ht="32" customHeight="1">
      <x:c r="A1529" s="83" t="str">
        <x:v>ACT-001-abilities.Dane.Bulwark.duration_seconds</x:v>
      </x:c>
      <x:c r="B1529" s="83" t="n">
        <x:v>1</x:v>
      </x:c>
      <x:c r="C1529" s="83" t="str">
        <x:v>Actual abilities</x:v>
      </x:c>
      <x:c r="D1529" s="84" t="str">
        <x:v>abilities.Dane.Bulwark.duration_seconds</x:v>
      </x:c>
      <x:c r="E1529" s="84" t="n">
        <x:v>8</x:v>
      </x:c>
      <x:c r="F1529" s="84" t="str">
        <x:v>Confirmed from final text</x:v>
      </x:c>
    </x:row>
    <x:row r="1530" ht="32" customHeight="1">
      <x:c r="A1530" s="79" t="str">
        <x:v>ACT-001-abilities.Dane.Bulwark.front_width_metres</x:v>
      </x:c>
      <x:c r="B1530" s="79" t="n">
        <x:v>1</x:v>
      </x:c>
      <x:c r="C1530" s="79" t="str">
        <x:v>Actual abilities</x:v>
      </x:c>
      <x:c r="D1530" s="80" t="str">
        <x:v>abilities.Dane.Bulwark.front_width_metres</x:v>
      </x:c>
      <x:c r="E1530" s="80" t="n">
        <x:v>3</x:v>
      </x:c>
      <x:c r="F1530" s="80" t="str">
        <x:v>Confirmed from final text</x:v>
      </x:c>
    </x:row>
    <x:row r="1531" ht="32" customHeight="1">
      <x:c r="A1531" s="83" t="str">
        <x:v>ACT-001-abilities.Dane.Bulwark.front_height_metres</x:v>
      </x:c>
      <x:c r="B1531" s="83" t="n">
        <x:v>1</x:v>
      </x:c>
      <x:c r="C1531" s="83" t="str">
        <x:v>Actual abilities</x:v>
      </x:c>
      <x:c r="D1531" s="84" t="str">
        <x:v>abilities.Dane.Bulwark.front_height_metres</x:v>
      </x:c>
      <x:c r="E1531" s="84" t="n">
        <x:v>2</x:v>
      </x:c>
      <x:c r="F1531" s="84" t="str">
        <x:v>Confirmed from final text</x:v>
      </x:c>
    </x:row>
    <x:row r="1532" ht="32" customHeight="1">
      <x:c r="A1532" s="79" t="str">
        <x:v>ACT-001-abilities.Dane.Bulwark.physical_force_multiplier</x:v>
      </x:c>
      <x:c r="B1532" s="79" t="n">
        <x:v>1</x:v>
      </x:c>
      <x:c r="C1532" s="79" t="str">
        <x:v>Actual abilities</x:v>
      </x:c>
      <x:c r="D1532" s="80" t="str">
        <x:v>abilities.Dane.Bulwark.physical_force_multiplier</x:v>
      </x:c>
      <x:c r="E1532" s="80" t="n">
        <x:v>0.5</x:v>
      </x:c>
      <x:c r="F1532" s="80" t="str">
        <x:v>Confirmed from final text</x:v>
      </x:c>
    </x:row>
    <x:row r="1533" ht="32" customHeight="1">
      <x:c r="A1533" s="83" t="str">
        <x:v>ACT-001-abilities.Dane.Bulwark.limits</x:v>
      </x:c>
      <x:c r="B1533" s="83" t="n">
        <x:v>1</x:v>
      </x:c>
      <x:c r="C1533" s="83" t="str">
        <x:v>Actual abilities</x:v>
      </x:c>
      <x:c r="D1533" s="84" t="str">
        <x:v>abilities.Dane.Bulwark.limits</x:v>
      </x:c>
      <x:c r="E1533" s="84" t="str">
        <x:v>Raised weapon, concentration and facing; no heat, poison or rear protection. Mutually exclusive with own Interpose.</x:v>
      </x:c>
      <x:c r="F1533" s="84" t="str">
        <x:v>Confirmed from final text</x:v>
      </x:c>
    </x:row>
    <x:row r="1534" ht="30" customHeight="1">
      <x:c r="A1534" s="79" t="str">
        <x:v>ACT-001-abilities.Dane.Bulwark.actual_use</x:v>
      </x:c>
      <x:c r="B1534" s="79" t="n">
        <x:v>1</x:v>
      </x:c>
      <x:c r="C1534" s="79" t="str">
        <x:v>Actual abilities</x:v>
      </x:c>
      <x:c r="D1534" s="80" t="str">
        <x:v>abilities.Dane.Bulwark.actual_use</x:v>
      </x:c>
      <x:c r="E1534" s="80" t="str">
        <x:v>No cast after Kip arrives.</x:v>
      </x:c>
      <x:c r="F1534" s="80" t="str">
        <x:v>Confirmed from final text</x:v>
      </x:c>
    </x:row>
    <x:row r="1535" ht="30" customHeight="1">
      <x:c r="A1535" s="83" t="str">
        <x:v>ACT-001-owned_rooms.Kip</x:v>
      </x:c>
      <x:c r="B1535" s="83" t="n">
        <x:v>1</x:v>
      </x:c>
      <x:c r="C1535" s="83" t="str">
        <x:v>Actual owned_rooms</x:v>
      </x:c>
      <x:c r="D1535" s="84" t="str">
        <x:v>owned_rooms.Kip</x:v>
      </x:c>
      <x:c r="E1535" s="84" t="str">
        <x:v>None recorded</x:v>
      </x:c>
      <x:c r="F1535" s="84" t="str">
        <x:v>Confirmed from final text</x:v>
      </x:c>
    </x:row>
    <x:row r="1536" ht="30" customHeight="1">
      <x:c r="A1536" s="79" t="str">
        <x:v>ACT-001-owned_rooms.Tessa</x:v>
      </x:c>
      <x:c r="B1536" s="79" t="n">
        <x:v>1</x:v>
      </x:c>
      <x:c r="C1536" s="79" t="str">
        <x:v>Actual owned_rooms</x:v>
      </x:c>
      <x:c r="D1536" s="80" t="str">
        <x:v>owned_rooms.Tessa</x:v>
      </x:c>
      <x:c r="E1536" s="80" t="str">
        <x:v>None recorded</x:v>
      </x:c>
      <x:c r="F1536" s="80" t="str">
        <x:v>Confirmed from final text</x:v>
      </x:c>
    </x:row>
    <x:row r="1537" ht="30" customHeight="1">
      <x:c r="A1537" s="83" t="str">
        <x:v>ACT-001-owned_rooms.Owen</x:v>
      </x:c>
      <x:c r="B1537" s="83" t="n">
        <x:v>1</x:v>
      </x:c>
      <x:c r="C1537" s="83" t="str">
        <x:v>Actual owned_rooms</x:v>
      </x:c>
      <x:c r="D1537" s="84" t="str">
        <x:v>owned_rooms.Owen</x:v>
      </x:c>
      <x:c r="E1537" s="84" t="str">
        <x:v>None recorded</x:v>
      </x:c>
      <x:c r="F1537" s="84" t="str">
        <x:v>Confirmed from final text</x:v>
      </x:c>
    </x:row>
    <x:row r="1538" ht="30" customHeight="1">
      <x:c r="A1538" s="79" t="str">
        <x:v>ACT-001-owned_rooms.Dane</x:v>
      </x:c>
      <x:c r="B1538" s="79" t="n">
        <x:v>1</x:v>
      </x:c>
      <x:c r="C1538" s="79" t="str">
        <x:v>Actual owned_rooms</x:v>
      </x:c>
      <x:c r="D1538" s="80" t="str">
        <x:v>owned_rooms.Dane</x:v>
      </x:c>
      <x:c r="E1538" s="80" t="str">
        <x:v>None recorded</x:v>
      </x:c>
      <x:c r="F1538" s="80" t="str">
        <x:v>Confirmed from final text</x:v>
      </x:c>
    </x:row>
    <x:row r="1539" ht="30" customHeight="1">
      <x:c r="A1539" s="83" t="str">
        <x:v>ACT-001-fatigue.Kip</x:v>
      </x:c>
      <x:c r="B1539" s="83" t="n">
        <x:v>1</x:v>
      </x:c>
      <x:c r="C1539" s="83" t="str">
        <x:v>Actual fatigue</x:v>
      </x:c>
      <x:c r="D1539" s="84" t="str">
        <x:v>fatigue.Kip</x:v>
      </x:c>
      <x:c r="E1539" s="84" t="str">
        <x:v>Arrival soreness and untrained litter carrying; alert and mobile. No completed quiet recovery minute.</x:v>
      </x:c>
      <x:c r="F1539" s="84" t="str">
        <x:v>Confirmed from final text</x:v>
      </x:c>
    </x:row>
    <x:row r="1540" ht="30" customHeight="1">
      <x:c r="A1540" s="79" t="str">
        <x:v>ACT-001-fatigue.companions</x:v>
      </x:c>
      <x:c r="B1540" s="79" t="n">
        <x:v>1</x:v>
      </x:c>
      <x:c r="C1540" s="79" t="str">
        <x:v>Actual fatigue</x:v>
      </x:c>
      <x:c r="D1540" s="80" t="str">
        <x:v>fatigue.companions</x:v>
      </x:c>
      <x:c r="E1540" s="80" t="str">
        <x:v>Already retreating from danger; no new quantified fatigue or rest benefit established.</x:v>
      </x:c>
      <x:c r="F1540" s="80" t="str">
        <x:v>Confirmed from final text</x:v>
      </x:c>
    </x:row>
    <x:row r="1541" ht="32" customHeight="1">
      <x:c r="A1541" s="83" t="str">
        <x:v>ACT-001-relationships.Kip and group</x:v>
      </x:c>
      <x:c r="B1541" s="83" t="n">
        <x:v>1</x:v>
      </x:c>
      <x:c r="C1541" s="83" t="str">
        <x:v>Actual relationships</x:v>
      </x:c>
      <x:c r="D1541" s="84" t="str">
        <x:v>relationships.Kip and group</x:v>
      </x:c>
      <x:c r="E1541" s="84" t="str">
        <x:v>Kip chose to help carry Jory, warned allies before using the launcher and accepted practical guidance. Cooperation has begun; no earned deep trust or disclosed class rarity.</x:v>
      </x:c>
      <x:c r="F1541" s="84" t="str">
        <x:v>Confirmed from final text</x:v>
      </x:c>
    </x:row>
    <x:row r="1542" ht="30" customHeight="1">
      <x:c r="A1542" s="79" t="str">
        <x:v>ACT-001-relationships.Dane and Jory</x:v>
      </x:c>
      <x:c r="B1542" s="79" t="n">
        <x:v>1</x:v>
      </x:c>
      <x:c r="C1542" s="79" t="str">
        <x:v>Actual relationships</x:v>
      </x:c>
      <x:c r="D1542" s="80" t="str">
        <x:v>relationships.Dane and Jory</x:v>
      </x:c>
      <x:c r="E1542" s="80" t="str">
        <x:v>Rearguard stays between the live hunter and the litter. His name has not yet been given to Kip.</x:v>
      </x:c>
      <x:c r="F1542" s="80" t="str">
        <x:v>Confirmed from final text</x:v>
      </x:c>
    </x:row>
    <x:row r="1543" ht="30" customHeight="1">
      <x:c r="A1543" s="83" t="str">
        <x:v>ACT-001-unresolved_threats.001</x:v>
      </x:c>
      <x:c r="B1543" s="83" t="n">
        <x:v>1</x:v>
      </x:c>
      <x:c r="C1543" s="83" t="str">
        <x:v>Actual unresolved_threats</x:v>
      </x:c>
      <x:c r="D1543" s="84" t="str">
        <x:v>unresolved_threats.001</x:v>
      </x:c>
      <x:c r="E1543" s="84" t="str">
        <x:v>The live wounded hunter still follows; the rearguard needs a safe retreat.</x:v>
      </x:c>
      <x:c r="F1543" s="84" t="str">
        <x:v>Confirmed from final text</x:v>
      </x:c>
    </x:row>
    <x:row r="1544" ht="30" customHeight="1">
      <x:c r="A1544" s="79" t="str">
        <x:v>ACT-001-unresolved_threats.002</x:v>
      </x:c>
      <x:c r="B1544" s="79" t="n">
        <x:v>1</x:v>
      </x:c>
      <x:c r="C1544" s="79" t="str">
        <x:v>Actual unresolved_threats</x:v>
      </x:c>
      <x:c r="D1544" s="80" t="str">
        <x:v>unresolved_threats.002</x:v>
      </x:c>
      <x:c r="E1544" s="80" t="str">
        <x:v>No secured refuge or exit established; Kip remains stranded in Cinderwell.</x:v>
      </x:c>
      <x:c r="F1544" s="80" t="str">
        <x:v>Confirmed from final text</x:v>
      </x:c>
    </x:row>
    <x:row r="1545" ht="30" customHeight="1">
      <x:c r="A1545" s="83" t="str">
        <x:v>ACT-001-resource_events.001.person</x:v>
      </x:c>
      <x:c r="B1545" s="83" t="n">
        <x:v>1</x:v>
      </x:c>
      <x:c r="C1545" s="83" t="str">
        <x:v>Actual resource_events</x:v>
      </x:c>
      <x:c r="D1545" s="84" t="str">
        <x:v>resource_events.001.person</x:v>
      </x:c>
      <x:c r="E1545" s="84" t="str">
        <x:v>Kip</x:v>
      </x:c>
      <x:c r="F1545" s="84" t="str">
        <x:v>Confirmed from final text</x:v>
      </x:c>
    </x:row>
    <x:row r="1546" ht="30" customHeight="1">
      <x:c r="A1546" s="79" t="str">
        <x:v>ACT-001-resource_events.001.event</x:v>
      </x:c>
      <x:c r="B1546" s="79" t="n">
        <x:v>1</x:v>
      </x:c>
      <x:c r="C1546" s="79" t="str">
        <x:v>Actual resource_events</x:v>
      </x:c>
      <x:c r="D1546" s="80" t="str">
        <x:v>resource_events.001.event</x:v>
      </x:c>
      <x:c r="E1546" s="80" t="str">
        <x:v>First legal launcher Override</x:v>
      </x:c>
      <x:c r="F1546" s="80" t="str">
        <x:v>Confirmed from final text</x:v>
      </x:c>
    </x:row>
    <x:row r="1547" ht="30" customHeight="1">
      <x:c r="A1547" s="83" t="str">
        <x:v>ACT-001-resource_events.001.before</x:v>
      </x:c>
      <x:c r="B1547" s="83" t="n">
        <x:v>1</x:v>
      </x:c>
      <x:c r="C1547" s="83" t="str">
        <x:v>Actual resource_events</x:v>
      </x:c>
      <x:c r="D1547" s="84" t="str">
        <x:v>resource_events.001.before</x:v>
      </x:c>
      <x:c r="E1547" s="84" t="n">
        <x:v>40</x:v>
      </x:c>
      <x:c r="F1547" s="84" t="str">
        <x:v>Confirmed from final text</x:v>
      </x:c>
    </x:row>
    <x:row r="1548" ht="30" customHeight="1">
      <x:c r="A1548" s="79" t="str">
        <x:v>ACT-001-resource_events.001.cost</x:v>
      </x:c>
      <x:c r="B1548" s="79" t="n">
        <x:v>1</x:v>
      </x:c>
      <x:c r="C1548" s="79" t="str">
        <x:v>Actual resource_events</x:v>
      </x:c>
      <x:c r="D1548" s="80" t="str">
        <x:v>resource_events.001.cost</x:v>
      </x:c>
      <x:c r="E1548" s="80" t="n">
        <x:v>10</x:v>
      </x:c>
      <x:c r="F1548" s="80" t="str">
        <x:v>Confirmed from final text</x:v>
      </x:c>
    </x:row>
    <x:row r="1549" ht="30" customHeight="1">
      <x:c r="A1549" s="83" t="str">
        <x:v>ACT-001-resource_events.001.recovery</x:v>
      </x:c>
      <x:c r="B1549" s="83" t="n">
        <x:v>1</x:v>
      </x:c>
      <x:c r="C1549" s="83" t="str">
        <x:v>Actual resource_events</x:v>
      </x:c>
      <x:c r="D1549" s="84" t="str">
        <x:v>resource_events.001.recovery</x:v>
      </x:c>
      <x:c r="E1549" s="84" t="n">
        <x:v>0</x:v>
      </x:c>
      <x:c r="F1549" s="84" t="str">
        <x:v>Confirmed from final text</x:v>
      </x:c>
    </x:row>
    <x:row r="1550" ht="30" customHeight="1">
      <x:c r="A1550" s="79" t="str">
        <x:v>ACT-001-resource_events.001.after</x:v>
      </x:c>
      <x:c r="B1550" s="79" t="n">
        <x:v>1</x:v>
      </x:c>
      <x:c r="C1550" s="79" t="str">
        <x:v>Actual resource_events</x:v>
      </x:c>
      <x:c r="D1550" s="80" t="str">
        <x:v>resource_events.001.after</x:v>
      </x:c>
      <x:c r="E1550" s="80" t="n">
        <x:v>30</x:v>
      </x:c>
      <x:c r="F1550" s="80" t="str">
        <x:v>Confirmed from final text</x:v>
      </x:c>
    </x:row>
    <x:row r="1551" ht="30" customHeight="1">
      <x:c r="A1551" s="83" t="str">
        <x:v>ACT-001-resource_events.001.maximum</x:v>
      </x:c>
      <x:c r="B1551" s="83" t="n">
        <x:v>1</x:v>
      </x:c>
      <x:c r="C1551" s="83" t="str">
        <x:v>Actual resource_events</x:v>
      </x:c>
      <x:c r="D1551" s="84" t="str">
        <x:v>resource_events.001.maximum</x:v>
      </x:c>
      <x:c r="E1551" s="84" t="n">
        <x:v>40</x:v>
      </x:c>
      <x:c r="F1551" s="84" t="str">
        <x:v>Confirmed from final text</x:v>
      </x:c>
    </x:row>
    <x:row r="1552" ht="30" customHeight="1">
      <x:c r="A1552" s="79" t="str">
        <x:v>ACT-001-resource_events.002.person</x:v>
      </x:c>
      <x:c r="B1552" s="79" t="n">
        <x:v>1</x:v>
      </x:c>
      <x:c r="C1552" s="79" t="str">
        <x:v>Actual resource_events</x:v>
      </x:c>
      <x:c r="D1552" s="80" t="str">
        <x:v>resource_events.002.person</x:v>
      </x:c>
      <x:c r="E1552" s="80" t="str">
        <x:v>Tessa</x:v>
      </x:c>
      <x:c r="F1552" s="80" t="str">
        <x:v>Confirmed from final text</x:v>
      </x:c>
    </x:row>
    <x:row r="1553" ht="30" customHeight="1">
      <x:c r="A1553" s="83" t="str">
        <x:v>ACT-001-resource_events.002.event</x:v>
      </x:c>
      <x:c r="B1553" s="83" t="n">
        <x:v>1</x:v>
      </x:c>
      <x:c r="C1553" s="83" t="str">
        <x:v>Actual resource_events</x:v>
      </x:c>
      <x:c r="D1553" s="84" t="str">
        <x:v>resource_events.002.event</x:v>
      </x:c>
      <x:c r="E1553" s="84" t="str">
        <x:v>Quickstep during retreat after Kip arrives</x:v>
      </x:c>
      <x:c r="F1553" s="84" t="str">
        <x:v>Confirmed from final text</x:v>
      </x:c>
    </x:row>
    <x:row r="1554" ht="30" customHeight="1">
      <x:c r="A1554" s="79" t="str">
        <x:v>ACT-001-resource_events.002.before</x:v>
      </x:c>
      <x:c r="B1554" s="79" t="n">
        <x:v>1</x:v>
      </x:c>
      <x:c r="C1554" s="79" t="str">
        <x:v>Actual resource_events</x:v>
      </x:c>
      <x:c r="D1554" s="80" t="str">
        <x:v>resource_events.002.before</x:v>
      </x:c>
      <x:c r="E1554" s="80" t="n">
        <x:v>35</x:v>
      </x:c>
      <x:c r="F1554" s="80" t="str">
        <x:v>Confirmed from final text</x:v>
      </x:c>
    </x:row>
    <x:row r="1555" ht="30" customHeight="1">
      <x:c r="A1555" s="83" t="str">
        <x:v>ACT-001-resource_events.002.cost</x:v>
      </x:c>
      <x:c r="B1555" s="83" t="n">
        <x:v>1</x:v>
      </x:c>
      <x:c r="C1555" s="83" t="str">
        <x:v>Actual resource_events</x:v>
      </x:c>
      <x:c r="D1555" s="84" t="str">
        <x:v>resource_events.002.cost</x:v>
      </x:c>
      <x:c r="E1555" s="84" t="n">
        <x:v>10</x:v>
      </x:c>
      <x:c r="F1555" s="84" t="str">
        <x:v>Confirmed from final text</x:v>
      </x:c>
    </x:row>
    <x:row r="1556" ht="30" customHeight="1">
      <x:c r="A1556" s="79" t="str">
        <x:v>ACT-001-resource_events.002.recovery</x:v>
      </x:c>
      <x:c r="B1556" s="79" t="n">
        <x:v>1</x:v>
      </x:c>
      <x:c r="C1556" s="79" t="str">
        <x:v>Actual resource_events</x:v>
      </x:c>
      <x:c r="D1556" s="80" t="str">
        <x:v>resource_events.002.recovery</x:v>
      </x:c>
      <x:c r="E1556" s="80" t="n">
        <x:v>0</x:v>
      </x:c>
      <x:c r="F1556" s="80" t="str">
        <x:v>Confirmed from final text</x:v>
      </x:c>
    </x:row>
    <x:row r="1557" ht="30" customHeight="1">
      <x:c r="A1557" s="83" t="str">
        <x:v>ACT-001-resource_events.002.after</x:v>
      </x:c>
      <x:c r="B1557" s="83" t="n">
        <x:v>1</x:v>
      </x:c>
      <x:c r="C1557" s="83" t="str">
        <x:v>Actual resource_events</x:v>
      </x:c>
      <x:c r="D1557" s="84" t="str">
        <x:v>resource_events.002.after</x:v>
      </x:c>
      <x:c r="E1557" s="84" t="n">
        <x:v>25</x:v>
      </x:c>
      <x:c r="F1557" s="84" t="str">
        <x:v>Confirmed from final text</x:v>
      </x:c>
    </x:row>
    <x:row r="1558" ht="30" customHeight="1">
      <x:c r="A1558" s="79" t="str">
        <x:v>ACT-001-resource_events.002.maximum</x:v>
      </x:c>
      <x:c r="B1558" s="79" t="n">
        <x:v>1</x:v>
      </x:c>
      <x:c r="C1558" s="79" t="str">
        <x:v>Actual resource_events</x:v>
      </x:c>
      <x:c r="D1558" s="80" t="str">
        <x:v>resource_events.002.maximum</x:v>
      </x:c>
      <x:c r="E1558" s="80" t="n">
        <x:v>60</x:v>
      </x:c>
      <x:c r="F1558" s="80" t="str">
        <x:v>Confirmed from final text</x:v>
      </x:c>
    </x:row>
    <x:row r="1559" ht="30" customHeight="1">
      <x:c r="A1559" s="83" t="str">
        <x:v>ACT-001-xp_events</x:v>
      </x:c>
      <x:c r="B1559" s="83" t="n">
        <x:v>1</x:v>
      </x:c>
      <x:c r="C1559" s="83" t="str">
        <x:v>Actual xp_events</x:v>
      </x:c>
      <x:c r="D1559" s="84" t="str">
        <x:v>xp_events</x:v>
      </x:c>
      <x:c r="E1559" s="84" t="str">
        <x:v>None recorded</x:v>
      </x:c>
      <x:c r="F1559" s="84" t="str">
        <x:v>Confirmed from final text</x:v>
      </x:c>
    </x:row>
    <x:row r="1560" ht="30" customHeight="1">
      <x:c r="A1560" s="79" t="str">
        <x:v>ACT-001-practice</x:v>
      </x:c>
      <x:c r="B1560" s="79" t="n">
        <x:v>1</x:v>
      </x:c>
      <x:c r="C1560" s="79" t="str">
        <x:v>Actual practice</x:v>
      </x:c>
      <x:c r="D1560" s="80" t="str">
        <x:v>practice</x:v>
      </x:c>
      <x:c r="E1560" s="80" t="str">
        <x:v>No focused practice or rank change established.</x:v>
      </x:c>
      <x:c r="F1560" s="80" t="str">
        <x:v>Confirmed from final text</x:v>
      </x:c>
    </x:row>
    <x:row r="1561" ht="32" customHeight="1">
      <x:c r="A1561" s="83" t="str">
        <x:v>ACT-001-injuries.001</x:v>
      </x:c>
      <x:c r="B1561" s="83" t="n">
        <x:v>1</x:v>
      </x:c>
      <x:c r="C1561" s="83" t="str">
        <x:v>Actual injuries</x:v>
      </x:c>
      <x:c r="D1561" s="84" t="str">
        <x:v>injuries.001</x:v>
      </x:c>
      <x:c r="E1561" s="84" t="str">
        <x:v>Kip: open superficial palm-length forearm cut from broken stone, bleeding toward cuff; shoulder soreness from arrival; no healing yet.</x:v>
      </x:c>
      <x:c r="F1561" s="84" t="str">
        <x:v>Confirmed from final text</x:v>
      </x:c>
    </x:row>
    <x:row r="1562" ht="30" customHeight="1">
      <x:c r="A1562" s="79" t="str">
        <x:v>ACT-001-injuries.002</x:v>
      </x:c>
      <x:c r="B1562" s="79" t="n">
        <x:v>1</x:v>
      </x:c>
      <x:c r="C1562" s="79" t="str">
        <x:v>Actual injuries</x:v>
      </x:c>
      <x:c r="D1562" s="80" t="str">
        <x:v>injuries.002</x:v>
      </x:c>
      <x:c r="E1562" s="80" t="str">
        <x:v>Jory: splinted lower-leg fracture persists; earlier shin skin cut already closed.</x:v>
      </x:c>
      <x:c r="F1562" s="80" t="str">
        <x:v>Confirmed from final text</x:v>
      </x:c>
    </x:row>
    <x:row r="1563" ht="30" customHeight="1">
      <x:c r="A1563" s="83" t="str">
        <x:v>ACT-001-injuries.003</x:v>
      </x:c>
      <x:c r="B1563" s="83" t="n">
        <x:v>1</x:v>
      </x:c>
      <x:c r="C1563" s="83" t="str">
        <x:v>Actual injuries</x:v>
      </x:c>
      <x:c r="D1563" s="84" t="str">
        <x:v>injuries.003</x:v>
      </x:c>
      <x:c r="E1563" s="84" t="str">
        <x:v>Hunter: bolt embedded in exposed foreleg, still alive and following.</x:v>
      </x:c>
      <x:c r="F1563" s="84" t="str">
        <x:v>Confirmed from final text</x:v>
      </x:c>
    </x:row>
    <x:row r="1564" ht="30" customHeight="1">
      <x:c r="A1564" s="79" t="str">
        <x:v>ACT-001-objects.001</x:v>
      </x:c>
      <x:c r="B1564" s="79" t="n">
        <x:v>1</x:v>
      </x:c>
      <x:c r="C1564" s="79" t="str">
        <x:v>Actual objects</x:v>
      </x:c>
      <x:c r="D1564" s="80" t="str">
        <x:v>objects.001</x:v>
      </x:c>
      <x:c r="E1564" s="80" t="str">
        <x:v>One launcher bolt discharged; empty channel observed; bolt remains in hunter.</x:v>
      </x:c>
      <x:c r="F1564" s="80" t="str">
        <x:v>Confirmed from final text</x:v>
      </x:c>
    </x:row>
    <x:row r="1565" ht="30" customHeight="1">
      <x:c r="A1565" s="83" t="str">
        <x:v>ACT-001-objects.002</x:v>
      </x:c>
      <x:c r="B1565" s="83" t="n">
        <x:v>1</x:v>
      </x:c>
      <x:c r="C1565" s="83" t="str">
        <x:v>Actual objects</x:v>
      </x:c>
      <x:c r="D1565" s="84" t="str">
        <x:v>objects.002</x:v>
      </x:c>
      <x:c r="E1565" s="84" t="str">
        <x:v>Jory remains on litter carried by Kip/Owen.</x:v>
      </x:c>
      <x:c r="F1565" s="84" t="str">
        <x:v>Confirmed from final text</x:v>
      </x:c>
    </x:row>
    <x:row r="1566" ht="30" customHeight="1">
      <x:c r="A1566" s="79" t="str">
        <x:v>ACT-001-objects.003</x:v>
      </x:c>
      <x:c r="B1566" s="79" t="n">
        <x:v>1</x:v>
      </x:c>
      <x:c r="C1566" s="79" t="str">
        <x:v>Actual objects</x:v>
      </x:c>
      <x:c r="D1566" s="80" t="str">
        <x:v>objects.003</x:v>
      </x:c>
      <x:c r="E1566" s="80" t="str">
        <x:v>Tessa retains short spear; Dane retains sword in right hand.</x:v>
      </x:c>
      <x:c r="F1566" s="80" t="str">
        <x:v>Confirmed from final text</x:v>
      </x:c>
    </x:row>
    <x:row r="1567" ht="30" customHeight="1">
      <x:c r="A1567" s="83" t="str">
        <x:v>ACT-001-objects.004</x:v>
      </x:c>
      <x:c r="B1567" s="83" t="n">
        <x:v>1</x:v>
      </x:c>
      <x:c r="C1567" s="83" t="str">
        <x:v>Actual objects</x:v>
      </x:c>
      <x:c r="D1567" s="84" t="str">
        <x:v>objects.004</x:v>
      </x:c>
      <x:c r="E1567" s="84" t="str">
        <x:v>Kip retains work clothing, keys and wallet; phone remains on Earth in van, not recovered.</x:v>
      </x:c>
      <x:c r="F1567" s="84" t="str">
        <x:v>Confirmed from final text</x:v>
      </x:c>
    </x:row>
    <x:row r="1568" ht="30" customHeight="1">
      <x:c r="A1568" s="79" t="str">
        <x:v>ACT-001-knowledge.Kip.001</x:v>
      </x:c>
      <x:c r="B1568" s="79" t="n">
        <x:v>1</x:v>
      </x:c>
      <x:c r="C1568" s="79" t="str">
        <x:v>Actual knowledge</x:v>
      </x:c>
      <x:c r="D1568" s="80" t="str">
        <x:v>knowledge.Kip.001</x:v>
      </x:c>
      <x:c r="E1568" s="80" t="str">
        <x:v>Knows own legendary Dungeon Sovereign class, level one, initial forty Mana and current thirty.</x:v>
      </x:c>
      <x:c r="F1568" s="80" t="str">
        <x:v>Confirmed from final text</x:v>
      </x:c>
    </x:row>
    <x:row r="1569" ht="32" customHeight="1">
      <x:c r="A1569" s="83" t="str">
        <x:v>ACT-001-knowledge.Kip.002</x:v>
      </x:c>
      <x:c r="B1569" s="83" t="n">
        <x:v>1</x:v>
      </x:c>
      <x:c r="C1569" s="83" t="str">
        <x:v>Actual knowledge</x:v>
      </x:c>
      <x:c r="D1569" s="84" t="str">
        <x:v>knowledge.Kip.002</x:v>
      </x:c>
      <x:c r="E1569" s="84" t="str">
        <x:v>Knows Dominion Sight inspection and Override ten-Mana/ten-metre/five-second existing-fixture limit; Claim Room remains unused.</x:v>
      </x:c>
      <x:c r="F1569" s="84" t="str">
        <x:v>Confirmed from final text</x:v>
      </x:c>
    </x:row>
    <x:row r="1570" ht="30" customHeight="1">
      <x:c r="A1570" s="79" t="str">
        <x:v>ACT-001-knowledge.Kip.003</x:v>
      </x:c>
      <x:c r="B1570" s="79" t="n">
        <x:v>1</x:v>
      </x:c>
      <x:c r="C1570" s="79" t="str">
        <x:v>Actual knowledge</x:v>
      </x:c>
      <x:c r="D1570" s="80" t="str">
        <x:v>knowledge.Kip.003</x:v>
      </x:c>
      <x:c r="E1570" s="80" t="str">
        <x:v>Knows names/roles Tessa scout, Owen field healer, Jory porter; rearguard name not learned yet.</x:v>
      </x:c>
      <x:c r="F1570" s="80" t="str">
        <x:v>Confirmed from final text</x:v>
      </x:c>
    </x:row>
    <x:row r="1571" ht="30" customHeight="1">
      <x:c r="A1571" s="83" t="str">
        <x:v>ACT-001-knowledge.Kip.004</x:v>
      </x:c>
      <x:c r="B1571" s="83" t="n">
        <x:v>1</x:v>
      </x:c>
      <x:c r="C1571" s="83" t="str">
        <x:v>Actual knowledge</x:v>
      </x:c>
      <x:c r="D1571" s="84" t="str">
        <x:v>knowledge.Kip.004</x:v>
      </x:c>
      <x:c r="E1571" s="84" t="str">
        <x:v>Heard Cinderwell; saw Quickstep as rapid physical movement; has no full companion class descriptions.</x:v>
      </x:c>
      <x:c r="F1571" s="84" t="str">
        <x:v>Confirmed from final text</x:v>
      </x:c>
    </x:row>
    <x:row r="1572" ht="32" customHeight="1">
      <x:c r="A1572" s="79" t="str">
        <x:v>ACT-001-knowledge.Tessa/Owen/Dane.001</x:v>
      </x:c>
      <x:c r="B1572" s="79" t="n">
        <x:v>1</x:v>
      </x:c>
      <x:c r="C1572" s="79" t="str">
        <x:v>Actual knowledge</x:v>
      </x:c>
      <x:c r="D1572" s="80" t="str">
        <x:v>knowledge.Tessa/Owen/Dane.001</x:v>
      </x:c>
      <x:c r="E1572" s="80" t="str">
        <x:v>Saw Kip help carry and trigger one launcher after warning allies; private class, rarity, level and Mana not disclosed.</x:v>
      </x:c>
      <x:c r="F1572" s="80" t="str">
        <x:v>Confirmed from final text</x:v>
      </x:c>
    </x:row>
    <x:row r="1573" ht="30" customHeight="1">
      <x:c r="A1573" s="83" t="str">
        <x:v>ACT-001-knowledge.Tessa/Owen/Dane.002</x:v>
      </x:c>
      <x:c r="B1573" s="83" t="n">
        <x:v>1</x:v>
      </x:c>
      <x:c r="C1573" s="83" t="str">
        <x:v>Actual knowledge</x:v>
      </x:c>
      <x:c r="D1573" s="84" t="str">
        <x:v>knowledge.Tessa/Owen/Dane.002</x:v>
      </x:c>
      <x:c r="E1573" s="84" t="str">
        <x:v>Kip has not yet introduced his name or Earth biography aloud.</x:v>
      </x:c>
      <x:c r="F1573" s="84" t="str">
        <x:v>Confirmed from final text</x:v>
      </x:c>
    </x:row>
    <x:row r="1574" ht="32" customHeight="1">
      <x:c r="A1574" s="79" t="str">
        <x:v>ACT-001-knowledge.reader.001</x:v>
      </x:c>
      <x:c r="B1574" s="79" t="n">
        <x:v>1</x:v>
      </x:c>
      <x:c r="C1574" s="79" t="str">
        <x:v>Actual knowledge</x:v>
      </x:c>
      <x:c r="D1574" s="80" t="str">
        <x:v>knowledge.reader.001</x:v>
      </x:c>
      <x:c r="E1574" s="80" t="str">
        <x:v>Saw immediate private legendary class panel, choice to carry Jory, one legal paid power use, live wounded pursuer and no final escape.</x:v>
      </x:c>
      <x:c r="F1574" s="80" t="str">
        <x:v>Confirmed from final text</x:v>
      </x:c>
    </x:row>
    <x:row r="1575" ht="32" customHeight="1">
      <x:c r="A1575" s="83" t="str">
        <x:v>ACT-001-private_flags.001</x:v>
      </x:c>
      <x:c r="B1575" s="83" t="n">
        <x:v>1</x:v>
      </x:c>
      <x:c r="C1575" s="83" t="str">
        <x:v>Actual private_flags</x:v>
      </x:c>
      <x:c r="D1575" s="84" t="str">
        <x:v>private_flags.001</x:v>
      </x:c>
      <x:c r="E1575" s="84" t="str">
        <x:v>Companion Mana/XP derived from approved pre-arrival baselines and the actual one Quickstep, not disclosed in narration.</x:v>
      </x:c>
      <x:c r="F1575" s="84" t="str">
        <x:v>Confirmed from final text</x:v>
      </x:c>
    </x:row>
    <x:row r="1576" ht="30" customHeight="1">
      <x:c r="A1576" s="79" t="str">
        <x:v>ACT-001-private_flags.002</x:v>
      </x:c>
      <x:c r="B1576" s="79" t="n">
        <x:v>1</x:v>
      </x:c>
      <x:c r="C1576" s="79" t="str">
        <x:v>Actual private_flags</x:v>
      </x:c>
      <x:c r="D1576" s="80" t="str">
        <x:v>private_flags.002</x:v>
      </x:c>
      <x:c r="E1576" s="80" t="str">
        <x:v>No one receives a retreat reward before the linked challenge resolves.</x:v>
      </x:c>
      <x:c r="F1576" s="80" t="str">
        <x:v>Confirmed from final text</x:v>
      </x:c>
    </x:row>
    <x:row r="1577" ht="30" customHeight="1">
      <x:c r="A1577" s="83" t="str">
        <x:v>ACT-001-private_flags.003</x:v>
      </x:c>
      <x:c r="B1577" s="83" t="n">
        <x:v>1</x:v>
      </x:c>
      <x:c r="C1577" s="83" t="str">
        <x:v>Actual private_flags</x:v>
      </x:c>
      <x:c r="D1577" s="84" t="str">
        <x:v>private_flags.003</x:v>
      </x:c>
      <x:c r="E1577" s="84" t="str">
        <x:v>No new magic, claimed room, rest refill, weapon or inventory power established.</x:v>
      </x:c>
      <x:c r="F1577" s="84" t="str">
        <x:v>Confirmed from final text</x:v>
      </x:c>
    </x:row>
    <x:row r="1578" ht="32" customHeight="1">
      <x:c r="A1578" s="79" t="str">
        <x:v>ACT-001-ending</x:v>
      </x:c>
      <x:c r="B1578" s="79" t="n">
        <x:v>1</x:v>
      </x:c>
      <x:c r="C1578" s="79" t="str">
        <x:v>Actual ending</x:v>
      </x:c>
      <x:c r="D1578" s="80" t="str">
        <x:v>ending</x:v>
      </x:c>
      <x:c r="E1578" s="80" t="str">
        <x:v>All five remain alive and in retreat beyond the junction. Kip and Owen carry Jory toward the service-door bend while the rearguard delays the living wounded hunter; no refuge or escape is secured.</x:v>
      </x:c>
      <x:c r="F1578" s="80" t="str">
        <x:v>Confirmed from final text</x:v>
      </x:c>
    </x:row>
    <x:row r="1579" ht="30" customHeight="1">
      <x:c r="A1579" s="83" t="str">
        <x:v>ACT-001-open_issues</x:v>
      </x:c>
      <x:c r="B1579" s="83" t="n">
        <x:v>1</x:v>
      </x:c>
      <x:c r="C1579" s="83" t="str">
        <x:v>Actual open_issues</x:v>
      </x:c>
      <x:c r="D1579" s="84" t="str">
        <x:v>open_issues</x:v>
      </x:c>
      <x:c r="E1579" s="84" t="str">
        <x:v>None recorded</x:v>
      </x:c>
      <x:c r="F1579" s="84" t="str">
        <x:v>Confirmed from final text</x:v>
      </x:c>
    </x:row>
  </x:sheetData>
  <x:conditionalFormatting sqref="F8:F1459">
    <x:cfRule type="containsText" dxfId="4" priority="1" operator="containsText" text="Open"/>
  </x:conditionalFormatting>
  <x:pageMargins left="0.7" right="0.7" top="0.75" bottom="0.75" header="0.3" footer="0.3"/>
  <x:tableParts count="1">
    <x:tablePart xmlns:r="http://schemas.openxmlformats.org/officeDocument/2006/relationships" r:id="Rc8ecf394ac354926"/>
  </x:tableParts>
</x:worksheet>
</file>

<file path=xl/worksheets/sheet5.xml><?xml version="1.0" encoding="utf-8"?>
<x:worksheet xmlns:x="http://schemas.openxmlformats.org/spreadsheetml/2006/main">
  <x:sheetPr>
    <x:tabColor rgb="FF8A7E9D"/>
  </x:sheetPr>
  <x:sheetViews>
    <x:sheetView showGridLines="0" workbookViewId="0">
      <x:pane xSplit="2" ySplit="7" topLeftCell="C8" activePane="bottomRight" state="frozen"/>
    </x:sheetView>
  </x:sheetViews>
  <x:sheetFormatPr defaultRowHeight="15"/>
  <x:cols>
    <x:col min="1" max="1" width="6" hidden="0" customWidth="1"/>
    <x:col min="2" max="2" width="15" hidden="0" customWidth="1"/>
    <x:col min="3" max="3" width="10" hidden="0" customWidth="1"/>
    <x:col min="4" max="4" width="14" hidden="0" customWidth="1"/>
    <x:col min="5" max="5" width="15" hidden="0" customWidth="1"/>
    <x:col min="6" max="6" width="13" hidden="0" customWidth="1"/>
    <x:col min="7" max="7" width="13" hidden="0" customWidth="1"/>
    <x:col min="8" max="8" width="22" hidden="0" customWidth="1"/>
    <x:col min="9" max="9" width="38" hidden="0" customWidth="1"/>
    <x:col min="10" max="10" width="38" hidden="0" customWidth="1"/>
    <x:col min="11" max="11" width="38" hidden="0" customWidth="1"/>
    <x:col min="12" max="12" width="50" hidden="0" customWidth="1"/>
    <x:col min="13" max="13" width="22" hidden="0" customWidth="1"/>
    <x:col min="14" max="14" width="16" hidden="0" customWidth="1"/>
  </x:cols>
  <x:sheetData>
    <x:row r="1" ht="10" customHeight="1">
      <x:c r="A1" s="2"/>
      <x:c r="B1" s="2"/>
      <x:c r="C1" s="2"/>
      <x:c r="D1" s="2"/>
      <x:c r="E1" s="2"/>
      <x:c r="F1" s="2"/>
      <x:c r="G1" s="2"/>
      <x:c r="H1" s="2"/>
      <x:c r="I1" s="2"/>
      <x:c r="J1" s="2"/>
      <x:c r="K1" s="2"/>
      <x:c r="L1" s="2"/>
      <x:c r="M1" s="2"/>
      <x:c r="N1" s="2"/>
    </x:row>
    <x:row r="2" ht="22" customHeight="1">
      <x:c r="A2" s="3" t="str">
        <x:v>Confirmed manuscript state</x:v>
      </x:c>
      <x:c r="B2" s="2"/>
      <x:c r="C2" s="2"/>
      <x:c r="D2" s="2"/>
      <x:c r="E2" s="2"/>
      <x:c r="F2" s="2"/>
      <x:c r="G2" s="2"/>
      <x:c r="H2" s="2"/>
      <x:c r="I2" s="2"/>
      <x:c r="J2" s="2"/>
      <x:c r="K2" s="2"/>
      <x:c r="L2" s="2"/>
      <x:c r="M2" s="2"/>
      <x:c r="N2" s="2"/>
    </x:row>
    <x:row r="3" ht="22" customHeight="1">
      <x:c r="A3" s="4"/>
      <x:c r="B3" s="4"/>
      <x:c r="C3" s="4"/>
      <x:c r="D3" s="4"/>
      <x:c r="E3" s="4"/>
      <x:c r="F3" s="4"/>
      <x:c r="G3" s="4"/>
      <x:c r="H3" s="4"/>
      <x:c r="I3" s="4"/>
      <x:c r="J3" s="4"/>
      <x:c r="K3" s="4"/>
      <x:c r="L3" s="4"/>
      <x:c r="M3" s="4"/>
      <x:c r="N3" s="4"/>
    </x:row>
    <x:row r="4" ht="22" customHeight="1">
      <x:c r="A4" s="2" t="str">
        <x:v>Confirmed through Episode 1: Legendary, Level One.</x:v>
      </x:c>
      <x:c r="B4" s="2"/>
      <x:c r="C4" s="2"/>
      <x:c r="D4" s="2"/>
      <x:c r="E4" s="2"/>
      <x:c r="F4" s="2"/>
      <x:c r="G4" s="2"/>
      <x:c r="H4" s="2"/>
      <x:c r="I4" s="2"/>
      <x:c r="J4" s="2"/>
      <x:c r="K4" s="2"/>
      <x:c r="L4" s="2"/>
      <x:c r="M4" s="2"/>
      <x:c r="N4" s="2"/>
    </x:row>
    <x:row r="5" ht="52" customHeight="1">
      <x:c r="A5" s="74" t="str">
        <x:v>Enter confirmed continuity only after reviewing a final chapter. A blank is unknown; a typed 0 means zero.
Required before confirmation: a final-text evidence reference and a completed continuity review.
Author planning adoption is separate from manuscript confirmation and publishing status.</x:v>
      </x:c>
      <x:c r="B5" s="19"/>
      <x:c r="C5" s="19"/>
      <x:c r="D5" s="19"/>
      <x:c r="E5" s="19"/>
      <x:c r="F5" s="19"/>
      <x:c r="G5" s="19"/>
      <x:c r="H5" s="19"/>
      <x:c r="I5" s="19"/>
      <x:c r="J5" s="19"/>
      <x:c r="K5" s="19"/>
      <x:c r="L5" s="19"/>
      <x:c r="M5" s="19"/>
      <x:c r="N5" s="19"/>
    </x:row>
    <x:row r="6" ht="34" customHeight="1">
      <x:c r="A6" s="88" t="str">
        <x:v>Stopping point: All five remain alive and in retreat beyond the junction. Kip and Owen carry Jory toward the service-door bend while the rearguard delays the living wounded hunter; no refuge or escape is secured.</x:v>
      </x:c>
      <x:c r="B6" s="88"/>
      <x:c r="C6" s="88"/>
      <x:c r="D6" s="88"/>
      <x:c r="E6" s="88"/>
      <x:c r="F6" s="88"/>
      <x:c r="G6" s="88"/>
      <x:c r="H6" s="88"/>
      <x:c r="I6" s="88"/>
      <x:c r="J6" s="88"/>
      <x:c r="K6" s="88"/>
      <x:c r="L6" s="88"/>
      <x:c r="M6" s="88"/>
      <x:c r="N6" s="88"/>
    </x:row>
    <x:row r="7" ht="34" customHeight="1">
      <x:c r="A7" s="14" t="str">
        <x:v>EP</x:v>
      </x:c>
      <x:c r="B7" s="15" t="str">
        <x:v>Person</x:v>
      </x:c>
      <x:c r="C7" s="15" t="str">
        <x:v>Level</x:v>
      </x:c>
      <x:c r="D7" s="15" t="str">
        <x:v>Mana current</x:v>
      </x:c>
      <x:c r="E7" s="15" t="str">
        <x:v>Mana maximum</x:v>
      </x:c>
      <x:c r="F7" s="15" t="str">
        <x:v>XP in bar</x:v>
      </x:c>
      <x:c r="G7" s="15" t="str">
        <x:v>XP next</x:v>
      </x:c>
      <x:c r="H7" s="15" t="str">
        <x:v>Owned rooms</x:v>
      </x:c>
      <x:c r="I7" s="15" t="str">
        <x:v>Injuries</x:v>
      </x:c>
      <x:c r="J7" s="15" t="str">
        <x:v>Knowledge</x:v>
      </x:c>
      <x:c r="K7" s="15" t="str">
        <x:v>Object custody</x:v>
      </x:c>
      <x:c r="L7" s="15" t="str">
        <x:v>Final-text evidence</x:v>
      </x:c>
      <x:c r="M7" s="15" t="str">
        <x:v>Review status</x:v>
      </x:c>
      <x:c r="N7" s="16" t="str">
        <x:v>Reviewed date</x:v>
      </x:c>
    </x:row>
    <x:row r="8" ht="70" customHeight="1">
      <x:c r="A8" s="75" t="n">
        <x:v>1</x:v>
      </x:c>
      <x:c r="B8" s="76" t="str">
        <x:v>Kip</x:v>
      </x:c>
      <x:c r="C8" s="75" t="n">
        <x:v>1</x:v>
      </x:c>
      <x:c r="D8" s="75" t="n">
        <x:v>30</x:v>
      </x:c>
      <x:c r="E8" s="75" t="n">
        <x:v>40</x:v>
      </x:c>
      <x:c r="F8" s="75" t="n">
        <x:v>0</x:v>
      </x:c>
      <x:c r="G8" s="75" t="n">
        <x:v>100</x:v>
      </x:c>
      <x:c r="H8" s="76" t="str">
        <x:v>None</x:v>
      </x:c>
      <x:c r="I8" s="77" t="str">
        <x:v>Kip: open superficial palm-length forearm cut from broken stone, bleeding toward cuff; shoulder soreness from arrival; no healing yet.</x:v>
      </x:c>
      <x:c r="J8" s="77" t="str">
        <x:v>See actual Episode 1 knowledge facts in Story carryover.</x:v>
      </x:c>
      <x:c r="K8" s="77" t="str">
        <x:v>See actual Episode 1 custody facts in Story carryover.</x:v>
      </x:c>
      <x:c r="L8" s="77" t="str">
        <x:v>chapters/chapter-01/episode-001.txt
SHA-256 26d994aecffe589453af10fc671aa841f0f8738d856e785ac164147e7267da4c</x:v>
      </x:c>
      <x:c r="M8" s="76" t="str">
        <x:v>Confirmed from final text</x:v>
      </x:c>
      <x:c r="N8" s="78" t="d">
        <x:v>2026-10-22T00:00:00.000Z</x:v>
      </x:c>
    </x:row>
    <x:row r="9" ht="70" customHeight="1">
      <x:c r="A9" s="75" t="n">
        <x:v>1</x:v>
      </x:c>
      <x:c r="B9" s="76" t="str">
        <x:v>Tessa</x:v>
      </x:c>
      <x:c r="C9" s="75" t="n">
        <x:v>5</x:v>
      </x:c>
      <x:c r="D9" s="75" t="n">
        <x:v>25</x:v>
      </x:c>
      <x:c r="E9" s="75" t="n">
        <x:v>60</x:v>
      </x:c>
      <x:c r="F9" s="75" t="n">
        <x:v>0</x:v>
      </x:c>
      <x:c r="G9" s="75" t="n">
        <x:v>500</x:v>
      </x:c>
      <x:c r="H9" s="76" t="str">
        <x:v>None</x:v>
      </x:c>
      <x:c r="I9" s="77"/>
      <x:c r="J9" s="77" t="str">
        <x:v>See actual Episode 1 knowledge facts in Story carryover.</x:v>
      </x:c>
      <x:c r="K9" s="77" t="str">
        <x:v>See actual Episode 1 custody facts in Story carryover.</x:v>
      </x:c>
      <x:c r="L9" s="77" t="str">
        <x:v>chapters/chapter-01/episode-001.txt
SHA-256 26d994aecffe589453af10fc671aa841f0f8738d856e785ac164147e7267da4c</x:v>
      </x:c>
      <x:c r="M9" s="76" t="str">
        <x:v>Confirmed from final text</x:v>
      </x:c>
      <x:c r="N9" s="78" t="d">
        <x:v>2026-10-22T00:00:00.000Z</x:v>
      </x:c>
    </x:row>
    <x:row r="10" ht="70" customHeight="1">
      <x:c r="A10" s="75" t="n">
        <x:v>1</x:v>
      </x:c>
      <x:c r="B10" s="76" t="str">
        <x:v>Owen</x:v>
      </x:c>
      <x:c r="C10" s="75" t="n">
        <x:v>9</x:v>
      </x:c>
      <x:c r="D10" s="75" t="n">
        <x:v>50</x:v>
      </x:c>
      <x:c r="E10" s="75" t="n">
        <x:v>80</x:v>
      </x:c>
      <x:c r="F10" s="75" t="n">
        <x:v>0</x:v>
      </x:c>
      <x:c r="G10" s="75" t="n">
        <x:v>900</x:v>
      </x:c>
      <x:c r="H10" s="76" t="str">
        <x:v>None</x:v>
      </x:c>
      <x:c r="I10" s="77"/>
      <x:c r="J10" s="77" t="str">
        <x:v>See actual Episode 1 knowledge facts in Story carryover.</x:v>
      </x:c>
      <x:c r="K10" s="77" t="str">
        <x:v>See actual Episode 1 custody facts in Story carryover.</x:v>
      </x:c>
      <x:c r="L10" s="77" t="str">
        <x:v>chapters/chapter-01/episode-001.txt
SHA-256 26d994aecffe589453af10fc671aa841f0f8738d856e785ac164147e7267da4c</x:v>
      </x:c>
      <x:c r="M10" s="76" t="str">
        <x:v>Confirmed from final text</x:v>
      </x:c>
      <x:c r="N10" s="78" t="d">
        <x:v>2026-10-22T00:00:00.000Z</x:v>
      </x:c>
    </x:row>
    <x:row r="11" ht="70" customHeight="1">
      <x:c r="A11" s="75" t="n">
        <x:v>1</x:v>
      </x:c>
      <x:c r="B11" s="76" t="str">
        <x:v>Dane</x:v>
      </x:c>
      <x:c r="C11" s="75" t="n">
        <x:v>9</x:v>
      </x:c>
      <x:c r="D11" s="75" t="n">
        <x:v>45</x:v>
      </x:c>
      <x:c r="E11" s="75" t="n">
        <x:v>80</x:v>
      </x:c>
      <x:c r="F11" s="75" t="n">
        <x:v>0</x:v>
      </x:c>
      <x:c r="G11" s="75" t="n">
        <x:v>900</x:v>
      </x:c>
      <x:c r="H11" s="76" t="str">
        <x:v>None</x:v>
      </x:c>
      <x:c r="I11" s="77"/>
      <x:c r="J11" s="77" t="str">
        <x:v>See actual Episode 1 knowledge facts in Story carryover.</x:v>
      </x:c>
      <x:c r="K11" s="77" t="str">
        <x:v>See actual Episode 1 custody facts in Story carryover.</x:v>
      </x:c>
      <x:c r="L11" s="77" t="str">
        <x:v>chapters/chapter-01/episode-001.txt
SHA-256 26d994aecffe589453af10fc671aa841f0f8738d856e785ac164147e7267da4c</x:v>
      </x:c>
      <x:c r="M11" s="76" t="str">
        <x:v>Confirmed from final text</x:v>
      </x:c>
      <x:c r="N11" s="78" t="d">
        <x:v>2026-10-22T00:00:00.000Z</x:v>
      </x:c>
    </x:row>
    <x:row r="12" ht="22" customHeight="1">
      <x:c r="A12" s="70"/>
      <x:c r="B12" s="64"/>
      <x:c r="C12" s="70"/>
      <x:c r="D12" s="70"/>
      <x:c r="E12" s="70"/>
      <x:c r="F12" s="70"/>
      <x:c r="G12" s="70"/>
      <x:c r="H12" s="64"/>
      <x:c r="I12" s="65"/>
      <x:c r="J12" s="65"/>
      <x:c r="K12" s="65"/>
      <x:c r="L12" s="65"/>
      <x:c r="M12" s="64"/>
      <x:c r="N12" s="72"/>
    </x:row>
    <x:row r="13" ht="22" customHeight="1">
      <x:c r="A13" s="70"/>
      <x:c r="B13" s="64"/>
      <x:c r="C13" s="70"/>
      <x:c r="D13" s="70"/>
      <x:c r="E13" s="70"/>
      <x:c r="F13" s="70"/>
      <x:c r="G13" s="70"/>
      <x:c r="H13" s="64"/>
      <x:c r="I13" s="65"/>
      <x:c r="J13" s="65"/>
      <x:c r="K13" s="65"/>
      <x:c r="L13" s="65"/>
      <x:c r="M13" s="64"/>
      <x:c r="N13" s="72"/>
    </x:row>
    <x:row r="14" ht="22" customHeight="1">
      <x:c r="A14" s="70"/>
      <x:c r="B14" s="64"/>
      <x:c r="C14" s="70"/>
      <x:c r="D14" s="70"/>
      <x:c r="E14" s="70"/>
      <x:c r="F14" s="70"/>
      <x:c r="G14" s="70"/>
      <x:c r="H14" s="64"/>
      <x:c r="I14" s="65"/>
      <x:c r="J14" s="65"/>
      <x:c r="K14" s="65"/>
      <x:c r="L14" s="65"/>
      <x:c r="M14" s="64"/>
      <x:c r="N14" s="72"/>
    </x:row>
    <x:row r="15" ht="22" customHeight="1">
      <x:c r="A15" s="70"/>
      <x:c r="B15" s="64"/>
      <x:c r="C15" s="70"/>
      <x:c r="D15" s="70"/>
      <x:c r="E15" s="70"/>
      <x:c r="F15" s="70"/>
      <x:c r="G15" s="70"/>
      <x:c r="H15" s="64"/>
      <x:c r="I15" s="65"/>
      <x:c r="J15" s="65"/>
      <x:c r="K15" s="65"/>
      <x:c r="L15" s="65"/>
      <x:c r="M15" s="64"/>
      <x:c r="N15" s="72"/>
    </x:row>
    <x:row r="16" ht="22" customHeight="1">
      <x:c r="A16" s="70"/>
      <x:c r="B16" s="64"/>
      <x:c r="C16" s="70"/>
      <x:c r="D16" s="70"/>
      <x:c r="E16" s="70"/>
      <x:c r="F16" s="70"/>
      <x:c r="G16" s="70"/>
      <x:c r="H16" s="64"/>
      <x:c r="I16" s="65"/>
      <x:c r="J16" s="65"/>
      <x:c r="K16" s="65"/>
      <x:c r="L16" s="65"/>
      <x:c r="M16" s="64"/>
      <x:c r="N16" s="72"/>
    </x:row>
    <x:row r="17" ht="22" customHeight="1">
      <x:c r="A17" s="70"/>
      <x:c r="B17" s="64"/>
      <x:c r="C17" s="70"/>
      <x:c r="D17" s="70"/>
      <x:c r="E17" s="70"/>
      <x:c r="F17" s="70"/>
      <x:c r="G17" s="70"/>
      <x:c r="H17" s="64"/>
      <x:c r="I17" s="65"/>
      <x:c r="J17" s="65"/>
      <x:c r="K17" s="65"/>
      <x:c r="L17" s="65"/>
      <x:c r="M17" s="64"/>
      <x:c r="N17" s="72"/>
    </x:row>
    <x:row r="18" ht="22" customHeight="1">
      <x:c r="A18" s="70"/>
      <x:c r="B18" s="64"/>
      <x:c r="C18" s="70"/>
      <x:c r="D18" s="70"/>
      <x:c r="E18" s="70"/>
      <x:c r="F18" s="70"/>
      <x:c r="G18" s="70"/>
      <x:c r="H18" s="64"/>
      <x:c r="I18" s="65"/>
      <x:c r="J18" s="65"/>
      <x:c r="K18" s="65"/>
      <x:c r="L18" s="65"/>
      <x:c r="M18" s="64"/>
      <x:c r="N18" s="72"/>
    </x:row>
    <x:row r="19" ht="22" customHeight="1">
      <x:c r="A19" s="70"/>
      <x:c r="B19" s="64"/>
      <x:c r="C19" s="70"/>
      <x:c r="D19" s="70"/>
      <x:c r="E19" s="70"/>
      <x:c r="F19" s="70"/>
      <x:c r="G19" s="70"/>
      <x:c r="H19" s="64"/>
      <x:c r="I19" s="65"/>
      <x:c r="J19" s="65"/>
      <x:c r="K19" s="65"/>
      <x:c r="L19" s="65"/>
      <x:c r="M19" s="64"/>
      <x:c r="N19" s="72"/>
    </x:row>
    <x:row r="20" ht="22" customHeight="1">
      <x:c r="A20" s="70"/>
      <x:c r="B20" s="64"/>
      <x:c r="C20" s="70"/>
      <x:c r="D20" s="70"/>
      <x:c r="E20" s="70"/>
      <x:c r="F20" s="70"/>
      <x:c r="G20" s="70"/>
      <x:c r="H20" s="64"/>
      <x:c r="I20" s="65"/>
      <x:c r="J20" s="65"/>
      <x:c r="K20" s="65"/>
      <x:c r="L20" s="65"/>
      <x:c r="M20" s="64"/>
      <x:c r="N20" s="72"/>
    </x:row>
    <x:row r="21" ht="22" customHeight="1">
      <x:c r="A21" s="70"/>
      <x:c r="B21" s="64"/>
      <x:c r="C21" s="70"/>
      <x:c r="D21" s="70"/>
      <x:c r="E21" s="70"/>
      <x:c r="F21" s="70"/>
      <x:c r="G21" s="70"/>
      <x:c r="H21" s="64"/>
      <x:c r="I21" s="65"/>
      <x:c r="J21" s="65"/>
      <x:c r="K21" s="65"/>
      <x:c r="L21" s="65"/>
      <x:c r="M21" s="64"/>
      <x:c r="N21" s="72"/>
    </x:row>
    <x:row r="22" ht="22" customHeight="1">
      <x:c r="A22" s="70"/>
      <x:c r="B22" s="64"/>
      <x:c r="C22" s="70"/>
      <x:c r="D22" s="70"/>
      <x:c r="E22" s="70"/>
      <x:c r="F22" s="70"/>
      <x:c r="G22" s="70"/>
      <x:c r="H22" s="64"/>
      <x:c r="I22" s="65"/>
      <x:c r="J22" s="65"/>
      <x:c r="K22" s="65"/>
      <x:c r="L22" s="65"/>
      <x:c r="M22" s="64"/>
      <x:c r="N22" s="72"/>
    </x:row>
    <x:row r="23" ht="22" customHeight="1">
      <x:c r="A23" s="70"/>
      <x:c r="B23" s="64"/>
      <x:c r="C23" s="70"/>
      <x:c r="D23" s="70"/>
      <x:c r="E23" s="70"/>
      <x:c r="F23" s="70"/>
      <x:c r="G23" s="70"/>
      <x:c r="H23" s="64"/>
      <x:c r="I23" s="65"/>
      <x:c r="J23" s="65"/>
      <x:c r="K23" s="65"/>
      <x:c r="L23" s="65"/>
      <x:c r="M23" s="64"/>
      <x:c r="N23" s="72"/>
    </x:row>
    <x:row r="24" ht="22" customHeight="1">
      <x:c r="A24" s="70"/>
      <x:c r="B24" s="64"/>
      <x:c r="C24" s="70"/>
      <x:c r="D24" s="70"/>
      <x:c r="E24" s="70"/>
      <x:c r="F24" s="70"/>
      <x:c r="G24" s="70"/>
      <x:c r="H24" s="64"/>
      <x:c r="I24" s="65"/>
      <x:c r="J24" s="65"/>
      <x:c r="K24" s="65"/>
      <x:c r="L24" s="65"/>
      <x:c r="M24" s="64"/>
      <x:c r="N24" s="72"/>
    </x:row>
    <x:row r="25" ht="22" customHeight="1">
      <x:c r="A25" s="70"/>
      <x:c r="B25" s="64"/>
      <x:c r="C25" s="70"/>
      <x:c r="D25" s="70"/>
      <x:c r="E25" s="70"/>
      <x:c r="F25" s="70"/>
      <x:c r="G25" s="70"/>
      <x:c r="H25" s="64"/>
      <x:c r="I25" s="65"/>
      <x:c r="J25" s="65"/>
      <x:c r="K25" s="65"/>
      <x:c r="L25" s="65"/>
      <x:c r="M25" s="64"/>
      <x:c r="N25" s="72"/>
    </x:row>
    <x:row r="26" ht="22" customHeight="1">
      <x:c r="A26" s="70"/>
      <x:c r="B26" s="64"/>
      <x:c r="C26" s="70"/>
      <x:c r="D26" s="70"/>
      <x:c r="E26" s="70"/>
      <x:c r="F26" s="70"/>
      <x:c r="G26" s="70"/>
      <x:c r="H26" s="64"/>
      <x:c r="I26" s="65"/>
      <x:c r="J26" s="65"/>
      <x:c r="K26" s="65"/>
      <x:c r="L26" s="65"/>
      <x:c r="M26" s="64"/>
      <x:c r="N26" s="72"/>
    </x:row>
    <x:row r="27" ht="22" customHeight="1">
      <x:c r="A27" s="71"/>
      <x:c r="B27" s="66"/>
      <x:c r="C27" s="71"/>
      <x:c r="D27" s="71"/>
      <x:c r="E27" s="71"/>
      <x:c r="F27" s="71"/>
      <x:c r="G27" s="71"/>
      <x:c r="H27" s="66"/>
      <x:c r="I27" s="67"/>
      <x:c r="J27" s="67"/>
      <x:c r="K27" s="67"/>
      <x:c r="L27" s="67"/>
      <x:c r="M27" s="66"/>
      <x:c r="N27" s="73"/>
    </x:row>
    <x:row r="28" ht="22" customHeight="1">
      <x:c r="A28" s="2"/>
      <x:c r="B28" s="2"/>
      <x:c r="C28" s="2"/>
      <x:c r="D28" s="2"/>
      <x:c r="E28" s="2"/>
      <x:c r="F28" s="2"/>
      <x:c r="G28" s="2"/>
      <x:c r="H28" s="2"/>
      <x:c r="I28" s="2"/>
      <x:c r="J28" s="2"/>
      <x:c r="K28" s="2"/>
      <x:c r="L28" s="2"/>
      <x:c r="M28" s="2"/>
      <x:c r="N28" s="2"/>
    </x:row>
    <x:row r="29" ht="22" customHeight="1">
      <x:c r="A29" s="2"/>
      <x:c r="B29" s="2"/>
      <x:c r="C29" s="2"/>
      <x:c r="D29" s="2"/>
      <x:c r="E29" s="2"/>
      <x:c r="F29" s="2"/>
      <x:c r="G29" s="2"/>
      <x:c r="H29" s="2"/>
      <x:c r="I29" s="2"/>
      <x:c r="J29" s="2"/>
      <x:c r="K29" s="2"/>
      <x:c r="L29" s="2"/>
      <x:c r="M29" s="2"/>
      <x:c r="N29" s="2"/>
    </x:row>
    <x:row r="30" ht="22" customHeight="1">
      <x:c r="A30" s="2"/>
      <x:c r="B30" s="2"/>
      <x:c r="C30" s="2"/>
      <x:c r="D30" s="2"/>
      <x:c r="E30" s="2"/>
      <x:c r="F30" s="2"/>
      <x:c r="G30" s="2"/>
      <x:c r="H30" s="2"/>
      <x:c r="I30" s="2"/>
      <x:c r="J30" s="2"/>
      <x:c r="K30" s="2"/>
      <x:c r="L30" s="2"/>
      <x:c r="M30" s="2"/>
      <x:c r="N30" s="2"/>
    </x:row>
    <x:row r="31" ht="22" customHeight="1">
      <x:c r="A31" s="2"/>
      <x:c r="B31" s="2"/>
      <x:c r="C31" s="2"/>
      <x:c r="D31" s="2"/>
      <x:c r="E31" s="2"/>
      <x:c r="F31" s="2"/>
      <x:c r="G31" s="2"/>
      <x:c r="H31" s="2"/>
      <x:c r="I31" s="2"/>
      <x:c r="J31" s="2"/>
      <x:c r="K31" s="2"/>
      <x:c r="L31" s="2"/>
      <x:c r="M31" s="2"/>
      <x:c r="N31" s="2"/>
    </x:row>
    <x:row r="32" ht="22" customHeight="1">
      <x:c r="A32" s="2"/>
      <x:c r="B32" s="2"/>
      <x:c r="C32" s="2"/>
      <x:c r="D32" s="2"/>
      <x:c r="E32" s="2"/>
      <x:c r="F32" s="2"/>
      <x:c r="G32" s="2"/>
      <x:c r="H32" s="2"/>
      <x:c r="I32" s="2"/>
      <x:c r="J32" s="2"/>
      <x:c r="K32" s="2"/>
      <x:c r="L32" s="2"/>
      <x:c r="M32" s="2"/>
      <x:c r="N32" s="2"/>
    </x:row>
    <x:row r="33" ht="22" customHeight="1">
      <x:c r="A33" s="2"/>
      <x:c r="B33" s="2"/>
      <x:c r="C33" s="2"/>
      <x:c r="D33" s="2"/>
      <x:c r="E33" s="2"/>
      <x:c r="F33" s="2"/>
      <x:c r="G33" s="2"/>
      <x:c r="H33" s="2"/>
      <x:c r="I33" s="2"/>
      <x:c r="J33" s="2"/>
      <x:c r="K33" s="2"/>
      <x:c r="L33" s="2"/>
      <x:c r="M33" s="2"/>
      <x:c r="N33" s="2"/>
    </x:row>
    <x:row r="34" ht="22" customHeight="1">
      <x:c r="A34" s="2"/>
      <x:c r="B34" s="2"/>
      <x:c r="C34" s="2"/>
      <x:c r="D34" s="2"/>
      <x:c r="E34" s="2"/>
      <x:c r="F34" s="2"/>
      <x:c r="G34" s="2"/>
      <x:c r="H34" s="2"/>
      <x:c r="I34" s="2"/>
      <x:c r="J34" s="2"/>
      <x:c r="K34" s="2"/>
      <x:c r="L34" s="2"/>
      <x:c r="M34" s="2"/>
      <x:c r="N34" s="2"/>
    </x:row>
    <x:row r="35" ht="22" customHeight="1">
      <x:c r="A35" s="2"/>
      <x:c r="B35" s="2"/>
      <x:c r="C35" s="2"/>
      <x:c r="D35" s="2"/>
      <x:c r="E35" s="2"/>
      <x:c r="F35" s="2"/>
      <x:c r="G35" s="2"/>
      <x:c r="H35" s="2"/>
      <x:c r="I35" s="2"/>
      <x:c r="J35" s="2"/>
      <x:c r="K35" s="2"/>
      <x:c r="L35" s="2"/>
      <x:c r="M35" s="2"/>
      <x:c r="N35" s="2"/>
    </x:row>
    <x:row r="36" ht="22" customHeight="1">
      <x:c r="A36" s="2"/>
      <x:c r="B36" s="2"/>
      <x:c r="C36" s="2"/>
      <x:c r="D36" s="2"/>
      <x:c r="E36" s="2"/>
      <x:c r="F36" s="2"/>
      <x:c r="G36" s="2"/>
      <x:c r="H36" s="2"/>
      <x:c r="I36" s="2"/>
      <x:c r="J36" s="2"/>
      <x:c r="K36" s="2"/>
      <x:c r="L36" s="2"/>
      <x:c r="M36" s="2"/>
      <x:c r="N36" s="2"/>
    </x:row>
  </x:sheetData>
  <x:mergeCells>
    <x:mergeCell ref="A5:N5"/>
    <x:mergeCell ref="A6:N6"/>
  </x:mergeCells>
  <x:conditionalFormatting sqref="L8:M27">
    <x:cfRule type="expression" dxfId="5" priority="1">
      <x:formula>AND($M8="Confirmed from final text",$L8="")</x:formula>
    </x:cfRule>
    <x:cfRule type="expression" dxfId="6" priority="2">
      <x:formula>AND($M8="Confirmed from final text",$L8="")</x:formula>
    </x:cfRule>
  </x:conditionalFormatting>
  <x:dataValidations count="5">
    <x:dataValidation type="list" sqref="M12:M27">
      <x:formula1>"Needs final-text review,Confirmed from final text,Superseded"</x:formula1>
    </x:dataValidation>
    <x:dataValidation type="list" sqref="M8">
      <x:formula1>"Needs final-text review,Confirmed from final text,Superseded"</x:formula1>
    </x:dataValidation>
    <x:dataValidation type="list" sqref="M9">
      <x:formula1>"Needs final-text review,Confirmed from final text,Superseded"</x:formula1>
    </x:dataValidation>
    <x:dataValidation type="list" sqref="M10">
      <x:formula1>"Needs final-text review,Confirmed from final text,Superseded"</x:formula1>
    </x:dataValidation>
    <x:dataValidation type="list" sqref="M11">
      <x:formula1>"Needs final-text review,Confirmed from final text,Superseded"</x:formula1>
    </x:dataValidation>
  </x:dataValidations>
  <x:pageMargins left="0.7" right="0.7" top="0.75" bottom="0.75" header="0.3" footer="0.3"/>
  <x:tableParts count="1">
    <x:tablePart xmlns:r="http://schemas.openxmlformats.org/officeDocument/2006/relationships" r:id="Reacb95c8c24a43df"/>
  </x:tableParts>
</x:worksheet>
</file>

<file path=xl/worksheets/sheet6.xml><?xml version="1.0" encoding="utf-8"?>
<x:worksheet xmlns:x="http://schemas.openxmlformats.org/spreadsheetml/2006/main">
  <x:sheetPr>
    <x:tabColor rgb="FF493D69"/>
  </x:sheetPr>
  <x:sheetViews>
    <x:sheetView showGridLines="0" workbookViewId="0"/>
  </x:sheetViews>
  <x:sheetFormatPr defaultRowHeight="15"/>
  <x:cols>
    <x:col min="1" max="1" width="31" hidden="0" customWidth="1"/>
    <x:col min="2" max="2" width="12" hidden="0" customWidth="1"/>
    <x:col min="3" max="3" width="25" hidden="0" customWidth="1"/>
    <x:col min="4" max="4" width="58" hidden="0" customWidth="1"/>
    <x:col min="6" max="6" width="23" hidden="0" customWidth="1"/>
    <x:col min="7" max="7" width="20" hidden="0" customWidth="1"/>
    <x:col min="8" max="8" width="20" hidden="0" customWidth="1"/>
    <x:col min="9" max="9" width="20" hidden="0" customWidth="1"/>
    <x:col min="10" max="10" width="55" hidden="0" customWidth="1"/>
  </x:cols>
  <x:sheetData>
    <x:row r="1" ht="10" customHeight="1">
      <x:c r="A1" s="2"/>
      <x:c r="B1" s="2"/>
      <x:c r="C1" s="2"/>
      <x:c r="D1" s="2"/>
      <x:c r="E1" s="2"/>
      <x:c r="F1" s="2"/>
      <x:c r="G1" s="2"/>
      <x:c r="H1" s="2"/>
      <x:c r="I1" s="2"/>
      <x:c r="J1" s="2"/>
      <x:c r="K1" s="2"/>
    </x:row>
    <x:row r="2" ht="22" customHeight="1">
      <x:c r="A2" s="3" t="str">
        <x:v>Rules and source record</x:v>
      </x:c>
      <x:c r="B2" s="2"/>
      <x:c r="C2" s="2"/>
      <x:c r="D2" s="2"/>
      <x:c r="E2" s="2"/>
      <x:c r="F2" s="2"/>
      <x:c r="G2" s="2"/>
      <x:c r="H2" s="2"/>
      <x:c r="I2" s="2"/>
      <x:c r="J2" s="2"/>
      <x:c r="K2" s="2"/>
    </x:row>
    <x:row r="3" ht="22" customHeight="1">
      <x:c r="A3" s="4"/>
      <x:c r="B3" s="4"/>
      <x:c r="C3" s="4"/>
      <x:c r="D3" s="4"/>
      <x:c r="E3" s="4"/>
      <x:c r="F3" s="4"/>
      <x:c r="G3" s="4"/>
      <x:c r="H3" s="4"/>
      <x:c r="I3" s="4"/>
      <x:c r="J3" s="4"/>
      <x:c r="K3" s="4"/>
    </x:row>
    <x:row r="4" ht="22" customHeight="1">
      <x:c r="A4" s="2" t="str">
        <x:v>Author-set mechanics and planned-state provenance.</x:v>
      </x:c>
      <x:c r="B4" s="2"/>
      <x:c r="C4" s="2"/>
      <x:c r="D4" s="2"/>
      <x:c r="E4" s="2"/>
      <x:c r="F4" s="2"/>
      <x:c r="G4" s="2"/>
      <x:c r="H4" s="2"/>
      <x:c r="I4" s="2"/>
      <x:c r="J4" s="2"/>
      <x:c r="K4" s="2"/>
    </x:row>
    <x:row r="5" ht="22" customHeight="1">
      <x:c r="A5" s="5" t="str">
        <x:v>Amber numeric cells are calculation drivers. Regeneration replaces workbook edits.</x:v>
      </x:c>
      <x:c r="B5" s="2"/>
      <x:c r="C5" s="2"/>
      <x:c r="D5" s="2"/>
      <x:c r="E5" s="2"/>
      <x:c r="F5" s="2"/>
      <x:c r="G5" s="2"/>
      <x:c r="H5" s="2"/>
      <x:c r="I5" s="2"/>
      <x:c r="J5" s="2"/>
      <x:c r="K5" s="2"/>
    </x:row>
    <x:row r="6" ht="22" customHeight="1">
      <x:c r="A6" s="2"/>
      <x:c r="B6" s="2"/>
      <x:c r="C6" s="2"/>
      <x:c r="D6" s="2"/>
      <x:c r="E6" s="2"/>
      <x:c r="F6" s="2"/>
      <x:c r="G6" s="2"/>
      <x:c r="H6" s="2"/>
      <x:c r="I6" s="2"/>
      <x:c r="J6" s="2"/>
      <x:c r="K6" s="2"/>
    </x:row>
    <x:row r="7" ht="34" customHeight="1">
      <x:c r="A7" s="14" t="str">
        <x:v>Driver</x:v>
      </x:c>
      <x:c r="B7" s="15" t="str">
        <x:v>Value</x:v>
      </x:c>
      <x:c r="C7" s="15" t="str">
        <x:v>Unit</x:v>
      </x:c>
      <x:c r="D7" s="16" t="str">
        <x:v>Meaning</x:v>
      </x:c>
      <x:c r="E7" s="2"/>
      <x:c r="F7" s="29" t="str">
        <x:v>Person</x:v>
      </x:c>
      <x:c r="G7" s="29" t="str">
        <x:v>Opening level</x:v>
      </x:c>
      <x:c r="H7" s="29" t="str">
        <x:v>Opening XP bar</x:v>
      </x:c>
      <x:c r="I7" s="29" t="str">
        <x:v>Pre-encounter Mana</x:v>
      </x:c>
      <x:c r="J7" s="2"/>
      <x:c r="K7" s="2"/>
    </x:row>
    <x:row r="8" ht="22" customHeight="1">
      <x:c r="A8" s="2" t="str">
        <x:v>Base maximum Mana</x:v>
      </x:c>
      <x:c r="B8" s="26" t="n">
        <x:v>40</x:v>
      </x:c>
      <x:c r="C8" s="32" t="str">
        <x:v>Mana</x:v>
      </x:c>
      <x:c r="D8" s="19" t="str">
        <x:v>At level 1</x:v>
      </x:c>
      <x:c r="E8" s="2"/>
      <x:c r="F8" s="2" t="str">
        <x:v>Kip</x:v>
      </x:c>
      <x:c r="G8" s="31" t="n">
        <x:v>1</x:v>
      </x:c>
      <x:c r="H8" s="31" t="n">
        <x:v>0</x:v>
      </x:c>
      <x:c r="I8" s="31" t="n">
        <x:f>IF(AND(ISNUMBER($B$8),ISNUMBER($B$9),ISNUMBER(G8)),$B$8+$B$9*(G8-1),"")</x:f>
        <x:v>40</x:v>
      </x:c>
      <x:c r="J8" s="2"/>
      <x:c r="K8" s="2"/>
    </x:row>
    <x:row r="9" ht="22" customHeight="1">
      <x:c r="A9" s="17" t="str">
        <x:v>Maximum increase per level</x:v>
      </x:c>
      <x:c r="B9" s="26" t="n">
        <x:v>5</x:v>
      </x:c>
      <x:c r="C9" s="33" t="str">
        <x:v>Mana / level</x:v>
      </x:c>
      <x:c r="D9" s="20" t="str">
        <x:v>Current Mana does not increase on leveling</x:v>
      </x:c>
      <x:c r="E9" s="2"/>
      <x:c r="F9" s="2" t="str">
        <x:v>Tessa</x:v>
      </x:c>
      <x:c r="G9" s="31" t="n">
        <x:v>5</x:v>
      </x:c>
      <x:c r="H9" s="31" t="n">
        <x:v>0</x:v>
      </x:c>
      <x:c r="I9" s="31" t="n">
        <x:f>IF(AND(ISNUMBER($B$8),ISNUMBER($B$9),ISNUMBER(G9)),$B$8+$B$9*(G9-1),"")</x:f>
        <x:v>60</x:v>
      </x:c>
      <x:c r="J9" s="2"/>
      <x:c r="K9" s="2"/>
    </x:row>
    <x:row r="10" ht="22" customHeight="1">
      <x:c r="A10" s="2" t="str">
        <x:v>Quiet recovery rate</x:v>
      </x:c>
      <x:c r="B10" s="26" t="n">
        <x:v>5</x:v>
      </x:c>
      <x:c r="C10" s="32" t="str">
        <x:v>Mana / completed minute</x:v>
      </x:c>
      <x:c r="D10" s="19" t="str">
        <x:v>Eligible uninterrupted rest only; cap at maximum</x:v>
      </x:c>
      <x:c r="E10" s="2"/>
      <x:c r="F10" s="2" t="str">
        <x:v>Owen</x:v>
      </x:c>
      <x:c r="G10" s="31" t="n">
        <x:v>9</x:v>
      </x:c>
      <x:c r="H10" s="31" t="n">
        <x:v>0</x:v>
      </x:c>
      <x:c r="I10" s="31" t="n">
        <x:f>IF(AND(ISNUMBER($B$8),ISNUMBER($B$9),ISNUMBER(G10)),$B$8+$B$9*(G10-1),"")</x:f>
        <x:v>80</x:v>
      </x:c>
      <x:c r="J10" s="2"/>
      <x:c r="K10" s="2"/>
    </x:row>
    <x:row r="11" ht="22" customHeight="1">
      <x:c r="A11" s="17" t="str">
        <x:v>XP threshold factor</x:v>
      </x:c>
      <x:c r="B11" s="26" t="n">
        <x:v>100</x:v>
      </x:c>
      <x:c r="C11" s="33" t="str">
        <x:v>XP × current level</x:v>
      </x:c>
      <x:c r="D11" s="20" t="str">
        <x:v>Bars reset; overflow carries</x:v>
      </x:c>
      <x:c r="E11" s="2"/>
      <x:c r="F11" s="2" t="str">
        <x:v>Dane</x:v>
      </x:c>
      <x:c r="G11" s="31" t="n">
        <x:v>9</x:v>
      </x:c>
      <x:c r="H11" s="31" t="n">
        <x:v>0</x:v>
      </x:c>
      <x:c r="I11" s="31" t="n">
        <x:f>IF(AND(ISNUMBER($B$8),ISNUMBER($B$9),ISNUMBER(G11)),$B$8+$B$9*(G11-1),"")</x:f>
        <x:v>80</x:v>
      </x:c>
      <x:c r="J11" s="2"/>
      <x:c r="K11" s="2"/>
    </x:row>
    <x:row r="12" ht="22" customHeight="1">
      <x:c r="A12" s="2" t="str">
        <x:v>Rank 2 minimum level</x:v>
      </x:c>
      <x:c r="B12" s="26" t="n">
        <x:v>5</x:v>
      </x:c>
      <x:c r="C12" s="32" t="str">
        <x:v>level</x:v>
      </x:c>
      <x:c r="D12" s="19" t="str">
        <x:v>Also needs focused practice and genuine proof</x:v>
      </x:c>
      <x:c r="E12" s="2"/>
      <x:c r="F12" s="2"/>
      <x:c r="G12" s="2"/>
      <x:c r="H12" s="2"/>
      <x:c r="I12" s="2"/>
      <x:c r="J12" s="2"/>
      <x:c r="K12" s="2"/>
    </x:row>
    <x:row r="13" ht="22" customHeight="1">
      <x:c r="A13" s="17" t="str">
        <x:v>Rank 2 practice</x:v>
      </x:c>
      <x:c r="B13" s="26" t="n">
        <x:v>120</x:v>
      </x:c>
      <x:c r="C13" s="33" t="str">
        <x:v>minutes</x:v>
      </x:c>
      <x:c r="D13" s="20" t="str">
        <x:v>Focused minutes since prior rank; quiet rest excluded</x:v>
      </x:c>
      <x:c r="E13" s="2"/>
      <x:c r="F13" s="2"/>
      <x:c r="G13" s="2"/>
      <x:c r="H13" s="2"/>
      <x:c r="I13" s="2"/>
      <x:c r="J13" s="2"/>
      <x:c r="K13" s="2"/>
    </x:row>
    <x:row r="14" ht="34" customHeight="1">
      <x:c r="A14" s="2" t="str">
        <x:v>Claim capacity, rank 1</x:v>
      </x:c>
      <x:c r="B14" s="26" t="n">
        <x:v>1</x:v>
      </x:c>
      <x:c r="C14" s="32" t="str">
        <x:v>rooms</x:v>
      </x:c>
      <x:c r="D14" s="19" t="str">
        <x:v>New successful claim releases the old room</x:v>
      </x:c>
      <x:c r="E14" s="2"/>
      <x:c r="F14" s="29" t="str">
        <x:v>Ability</x:v>
      </x:c>
      <x:c r="G14" s="29" t="str">
        <x:v>Mana cost</x:v>
      </x:c>
      <x:c r="H14" s="29" t="str">
        <x:v>Cooldown sec</x:v>
      </x:c>
      <x:c r="I14" s="29" t="str">
        <x:v>Setup/effect sec</x:v>
      </x:c>
      <x:c r="J14" s="29" t="str">
        <x:v>Constraint</x:v>
      </x:c>
      <x:c r="K14" s="2"/>
    </x:row>
    <x:row r="15" ht="32" customHeight="1">
      <x:c r="A15" s="18" t="str">
        <x:v>Claim capacity, rank 2</x:v>
      </x:c>
      <x:c r="B15" s="27" t="n">
        <x:v>2</x:v>
      </x:c>
      <x:c r="C15" s="34" t="str">
        <x:v>rooms</x:v>
      </x:c>
      <x:c r="D15" s="21" t="str">
        <x:v>Separate valid claim and cost for each room</x:v>
      </x:c>
      <x:c r="E15" s="2"/>
      <x:c r="F15" s="2" t="str">
        <x:v>Override</x:v>
      </x:c>
      <x:c r="G15" s="31" t="n">
        <x:v>10</x:v>
      </x:c>
      <x:c r="H15" s="31" t="n">
        <x:v>0</x:v>
      </x:c>
      <x:c r="I15" s="35" t="n">
        <x:v>5</x:v>
      </x:c>
      <x:c r="J15" s="19" t="str">
        <x:v>Fixture reuse 15 sec after control ends</x:v>
      </x:c>
      <x:c r="K15" s="2"/>
    </x:row>
    <x:row r="16" ht="32" customHeight="1">
      <x:c r="A16" s="2"/>
      <x:c r="B16" s="2"/>
      <x:c r="C16" s="2"/>
      <x:c r="D16" s="2"/>
      <x:c r="E16" s="2"/>
      <x:c r="F16" s="2" t="str">
        <x:v>Claim Room</x:v>
      </x:c>
      <x:c r="G16" s="31" t="n">
        <x:v>20</x:v>
      </x:c>
      <x:c r="H16" s="31" t="n">
        <x:v>0</x:v>
      </x:c>
      <x:c r="I16" s="35" t="n">
        <x:v>30</x:v>
      </x:c>
      <x:c r="J16" s="19" t="str">
        <x:v>30 sec contact; valid interruption still spends</x:v>
      </x:c>
      <x:c r="K16" s="2"/>
    </x:row>
    <x:row r="17" ht="32" customHeight="1">
      <x:c r="A17" s="2"/>
      <x:c r="B17" s="2"/>
      <x:c r="C17" s="2"/>
      <x:c r="D17" s="2"/>
      <x:c r="E17" s="2"/>
      <x:c r="F17" s="2" t="str">
        <x:v>Sovereign Ward</x:v>
      </x:c>
      <x:c r="G17" s="31" t="n">
        <x:v>15</x:v>
      </x:c>
      <x:c r="H17" s="31" t="n">
        <x:v>10</x:v>
      </x:c>
      <x:c r="I17" s="35" t="n">
        <x:v>2</x:v>
      </x:c>
      <x:c r="J17" s="19" t="str">
        <x:v>2 sec setup; rank 1/2 lifetime 10/20 sec</x:v>
      </x:c>
      <x:c r="K17" s="2"/>
    </x:row>
    <x:row r="18" ht="32" customHeight="1">
      <x:c r="A18" s="37" t="str">
        <x:v>Room code</x:v>
      </x:c>
      <x:c r="B18" s="37" t="str">
        <x:v>Room</x:v>
      </x:c>
      <x:c r="C18" s="2"/>
      <x:c r="D18" s="2"/>
      <x:c r="E18" s="2"/>
      <x:c r="F18" s="2" t="str">
        <x:v>Quickstep</x:v>
      </x:c>
      <x:c r="G18" s="31" t="n">
        <x:v>10</x:v>
      </x:c>
      <x:c r="H18" s="31" t="n">
        <x:v>15</x:v>
      </x:c>
      <x:c r="I18" s="35" t="n">
        <x:v>1</x:v>
      </x:c>
      <x:c r="J18" s="19" t="str">
        <x:v>Visible physical path; no other adult carried</x:v>
      </x:c>
      <x:c r="K18" s="2"/>
    </x:row>
    <x:row r="19" ht="32" customHeight="1">
      <x:c r="A19" s="2" t="str">
        <x:v>A</x:v>
      </x:c>
      <x:c r="B19" s="2" t="str">
        <x:v>Service chamber</x:v>
      </x:c>
      <x:c r="C19" s="2"/>
      <x:c r="D19" s="2"/>
      <x:c r="E19" s="2"/>
      <x:c r="F19" s="2" t="str">
        <x:v>Trail Sight</x:v>
      </x:c>
      <x:c r="G19" s="31" t="n">
        <x:v>15</x:v>
      </x:c>
      <x:c r="H19" s="31" t="n">
        <x:v>45</x:v>
      </x:c>
      <x:c r="I19" s="35" t="n">
        <x:v>30</x:v>
      </x:c>
      <x:c r="J19" s="19" t="str">
        <x:v>Visible surviving tracks, no more than 2 hours old</x:v>
      </x:c>
      <x:c r="K19" s="2"/>
    </x:row>
    <x:row r="20" ht="32" customHeight="1">
      <x:c r="A20" s="2" t="str">
        <x:v>B</x:v>
      </x:c>
      <x:c r="B20" s="2" t="str">
        <x:v>Cistern</x:v>
      </x:c>
      <x:c r="C20" s="2"/>
      <x:c r="D20" s="2"/>
      <x:c r="E20" s="2"/>
      <x:c r="F20" s="2" t="str">
        <x:v>Staunch</x:v>
      </x:c>
      <x:c r="G20" s="31" t="n">
        <x:v>10</x:v>
      </x:c>
      <x:c r="H20" s="31" t="n">
        <x:v>15</x:v>
      </x:c>
      <x:c r="I20" s="35" t="n">
        <x:v>5</x:v>
      </x:c>
      <x:c r="J20" s="19" t="str">
        <x:v>5 sec contact; rank 2 seal lasts 40 minutes</x:v>
      </x:c>
      <x:c r="K20" s="2"/>
    </x:row>
    <x:row r="21" ht="32" customHeight="1">
      <x:c r="A21" s="2" t="str">
        <x:v>C</x:v>
      </x:c>
      <x:c r="B21" s="2" t="str">
        <x:v>Archive</x:v>
      </x:c>
      <x:c r="C21" s="2"/>
      <x:c r="D21" s="2"/>
      <x:c r="E21" s="2"/>
      <x:c r="F21" s="2" t="str">
        <x:v>Mend</x:v>
      </x:c>
      <x:c r="G21" s="31" t="n">
        <x:v>20</x:v>
      </x:c>
      <x:c r="H21" s="31" t="n">
        <x:v>60</x:v>
      </x:c>
      <x:c r="I21" s="35" t="n">
        <x:v>20</x:v>
      </x:c>
      <x:c r="J21" s="19" t="str">
        <x:v>20 sec contact; eligible shallow wound only</x:v>
      </x:c>
      <x:c r="K21" s="2"/>
    </x:row>
    <x:row r="22" ht="32" customHeight="1">
      <x:c r="A22" s="2" t="str">
        <x:v>D</x:v>
      </x:c>
      <x:c r="B22" s="2" t="str">
        <x:v>Lever hall</x:v>
      </x:c>
      <x:c r="C22" s="2"/>
      <x:c r="D22" s="2"/>
      <x:c r="E22" s="2"/>
      <x:c r="F22" s="2" t="str">
        <x:v>Interpose</x:v>
      </x:c>
      <x:c r="G22" s="31" t="n">
        <x:v>15</x:v>
      </x:c>
      <x:c r="H22" s="31" t="n">
        <x:v>15</x:v>
      </x:c>
      <x:c r="I22" s="35" t="n">
        <x:v>3</x:v>
      </x:c>
      <x:c r="J22" s="19" t="str">
        <x:v>3 sec next deliberate weapon-block bonus</x:v>
      </x:c>
      <x:c r="K22" s="2"/>
    </x:row>
    <x:row r="23" ht="32" customHeight="1">
      <x:c r="A23" s="2" t="str">
        <x:v>E</x:v>
      </x:c>
      <x:c r="B23" s="2" t="str">
        <x:v>Gatewalk</x:v>
      </x:c>
      <x:c r="C23" s="2"/>
      <x:c r="D23" s="2"/>
      <x:c r="E23" s="2"/>
      <x:c r="F23" s="2" t="str">
        <x:v>Bulwark</x:v>
      </x:c>
      <x:c r="G23" s="31" t="n">
        <x:v>20</x:v>
      </x:c>
      <x:c r="H23" s="31" t="n">
        <x:v>45</x:v>
      </x:c>
      <x:c r="I23" s="35" t="n">
        <x:v>8</x:v>
      </x:c>
      <x:c r="J23" s="19" t="str">
        <x:v>8 sec front-facing physical protection</x:v>
      </x:c>
      <x:c r="K23" s="2"/>
    </x:row>
    <x:row r="24" ht="22" customHeight="1">
      <x:c r="A24" s="2"/>
      <x:c r="B24" s="2"/>
      <x:c r="C24" s="2"/>
      <x:c r="D24" s="2"/>
      <x:c r="E24" s="2"/>
      <x:c r="F24" s="2"/>
      <x:c r="G24" s="2"/>
      <x:c r="H24" s="2"/>
      <x:c r="I24" s="2"/>
      <x:c r="J24" s="2"/>
      <x:c r="K24" s="2"/>
    </x:row>
    <x:row r="25" ht="22" customHeight="1">
      <x:c r="A25" s="2"/>
      <x:c r="B25" s="2"/>
      <x:c r="C25" s="2"/>
      <x:c r="D25" s="2"/>
      <x:c r="E25" s="2"/>
      <x:c r="F25" s="2"/>
      <x:c r="G25" s="2"/>
      <x:c r="H25" s="2"/>
      <x:c r="I25" s="2"/>
      <x:c r="J25" s="2"/>
      <x:c r="K25" s="2"/>
    </x:row>
    <x:row r="26" ht="22" customHeight="1">
      <x:c r="A26" s="2"/>
      <x:c r="B26" s="2"/>
      <x:c r="C26" s="2"/>
      <x:c r="D26" s="2"/>
      <x:c r="E26" s="2"/>
      <x:c r="F26" s="2"/>
      <x:c r="G26" s="2"/>
      <x:c r="H26" s="2"/>
      <x:c r="I26" s="2"/>
      <x:c r="J26" s="2"/>
      <x:c r="K26" s="2"/>
    </x:row>
    <x:row r="27" ht="22" customHeight="1">
      <x:c r="A27" s="38" t="str">
        <x:v>Ledger</x:v>
      </x:c>
      <x:c r="B27" s="19" t="str">
        <x:v>plot/planned-state.json</x:v>
      </x:c>
      <x:c r="C27" s="2"/>
      <x:c r="D27" s="2"/>
      <x:c r="E27" s="2"/>
      <x:c r="F27" s="2"/>
      <x:c r="G27" s="2"/>
      <x:c r="H27" s="2"/>
      <x:c r="I27" s="2"/>
      <x:c r="J27" s="2"/>
      <x:c r="K27" s="2"/>
    </x:row>
    <x:row r="28" ht="22" customHeight="1">
      <x:c r="A28" s="38" t="str">
        <x:v>Ledger SHA-256</x:v>
      </x:c>
      <x:c r="B28" s="19" t="str">
        <x:v>e948f0bcb8df0ea03f5ed2bf929603f5293bd568eb52b3984ed9d64474199a81</x:v>
      </x:c>
      <x:c r="C28" s="2"/>
      <x:c r="D28" s="2"/>
      <x:c r="E28" s="2"/>
      <x:c r="F28" s="2"/>
      <x:c r="G28" s="2"/>
      <x:c r="H28" s="2"/>
      <x:c r="I28" s="2"/>
      <x:c r="J28" s="2"/>
      <x:c r="K28" s="2"/>
    </x:row>
    <x:row r="29" ht="38" customHeight="1">
      <x:c r="A29" s="38" t="str">
        <x:v>Ledger status</x:v>
      </x:c>
      <x:c r="B29" s="19" t="str">
        <x:v>AUTHOR PLAN adopted for drafting after root arithmetic/chronology review; not manuscript-established events</x:v>
      </x:c>
      <x:c r="C29" s="2"/>
      <x:c r="D29" s="2"/>
      <x:c r="E29" s="2"/>
      <x:c r="F29" s="2"/>
      <x:c r="G29" s="2"/>
      <x:c r="H29" s="2"/>
      <x:c r="I29" s="2"/>
      <x:c r="J29" s="2"/>
      <x:c r="K29" s="2"/>
    </x:row>
    <x:row r="30" ht="22" customHeight="1">
      <x:c r="A30" s="38" t="str">
        <x:v>Schema</x:v>
      </x:c>
      <x:c r="B30" s="19" t="str">
        <x:v>kip-book1-planned-state-ledger-v1</x:v>
      </x:c>
      <x:c r="C30" s="2"/>
      <x:c r="D30" s="2"/>
      <x:c r="E30" s="2"/>
      <x:c r="F30" s="2"/>
      <x:c r="G30" s="2"/>
      <x:c r="H30" s="2"/>
      <x:c r="I30" s="2"/>
      <x:c r="J30" s="2"/>
      <x:c r="K30" s="2"/>
    </x:row>
    <x:row r="31" ht="22" customHeight="1">
      <x:c r="A31" s="38" t="str">
        <x:v>Mechanics</x:v>
      </x:c>
      <x:c r="B31" s="19" t="str">
        <x:v>worldbuilding/system.md</x:v>
      </x:c>
      <x:c r="C31" s="2"/>
      <x:c r="D31" s="2"/>
      <x:c r="E31" s="2"/>
      <x:c r="F31" s="2"/>
      <x:c r="G31" s="2"/>
      <x:c r="H31" s="2"/>
      <x:c r="I31" s="2"/>
      <x:c r="J31" s="2"/>
      <x:c r="K31" s="2"/>
    </x:row>
    <x:row r="32" ht="22" customHeight="1">
      <x:c r="A32" s="38" t="str">
        <x:v>Mechanics SHA-256</x:v>
      </x:c>
      <x:c r="B32" s="19" t="str">
        <x:v>01e5179235b8d52499384c7f69eec401141139e45167f56148283dcd50022e8b</x:v>
      </x:c>
      <x:c r="C32" s="2"/>
      <x:c r="D32" s="2"/>
      <x:c r="E32" s="2"/>
      <x:c r="F32" s="2"/>
      <x:c r="G32" s="2"/>
      <x:c r="H32" s="2"/>
      <x:c r="I32" s="2"/>
      <x:c r="J32" s="2"/>
      <x:c r="K32" s="2"/>
    </x:row>
    <x:row r="33" ht="22" customHeight="1">
      <x:c r="A33" s="38" t="str">
        <x:v>Mirror date</x:v>
      </x:c>
      <x:c r="B33" s="39" t="d">
        <x:v>2026-10-22T00:00:00.000Z</x:v>
      </x:c>
      <x:c r="C33" s="2"/>
      <x:c r="D33" s="2"/>
      <x:c r="E33" s="2"/>
      <x:c r="F33" s="2"/>
      <x:c r="G33" s="2"/>
      <x:c r="H33" s="2"/>
      <x:c r="I33" s="2"/>
      <x:c r="J33" s="2"/>
      <x:c r="K33" s="2"/>
    </x:row>
    <x:row r="34" ht="22" customHeight="1">
      <x:c r="A34" s="38" t="str">
        <x:v>Actual chapters</x:v>
      </x:c>
      <x:c r="B34" s="19" t="str">
        <x:v>None. No manuscript-derived state has been confirmed.</x:v>
      </x:c>
      <x:c r="C34" s="2"/>
      <x:c r="D34" s="2"/>
      <x:c r="E34" s="2"/>
      <x:c r="F34" s="2"/>
      <x:c r="G34" s="2"/>
      <x:c r="H34" s="2"/>
      <x:c r="I34" s="2"/>
      <x:c r="J34" s="2"/>
      <x:c r="K34" s="2"/>
    </x:row>
    <x:row r="35" ht="38" customHeight="1">
      <x:c r="A35" s="38" t="str">
        <x:v>Authority</x:v>
      </x:c>
      <x:c r="B35" s="19" t="str">
        <x:v>The JSON ledger owns planning. Final prose establishes actual continuity.</x:v>
      </x:c>
      <x:c r="C35" s="2"/>
      <x:c r="D35" s="2"/>
      <x:c r="E35" s="2"/>
      <x:c r="F35" s="2"/>
      <x:c r="G35" s="2"/>
      <x:c r="H35" s="2"/>
      <x:c r="I35" s="2"/>
      <x:c r="J35" s="2"/>
      <x:c r="K35" s="2"/>
    </x:row>
    <x:row r="36" ht="38" customHeight="1">
      <x:c r="A36" s="38" t="str">
        <x:v>Scope</x:v>
      </x:c>
      <x:c r="B36" s="19" t="str">
        <x:v>Arithmetic diagnostics do not establish scene geometry, safety, pacing, or publication readiness.</x:v>
      </x:c>
      <x:c r="C36" s="2"/>
      <x:c r="D36" s="2"/>
      <x:c r="E36" s="2"/>
      <x:c r="F36" s="2"/>
      <x:c r="G36" s="2"/>
      <x:c r="H36" s="2"/>
      <x:c r="I36" s="2"/>
      <x:c r="J36" s="2"/>
      <x:c r="K36" s="2"/>
    </x:row>
    <x:row r="37" ht="22" customHeight="1">
      <x:c r="A37" s="38" t="str">
        <x:v>Causal progression</x:v>
      </x:c>
      <x:c r="B37" s="2" t="str">
        <x:v>plot/progression.csv</x:v>
      </x:c>
      <x:c r="C37" s="2"/>
      <x:c r="D37" s="2"/>
      <x:c r="E37" s="2"/>
      <x:c r="F37" s="2"/>
      <x:c r="G37" s="2"/>
      <x:c r="H37" s="2"/>
      <x:c r="I37" s="2"/>
      <x:c r="J37" s="2"/>
      <x:c r="K37" s="2"/>
    </x:row>
    <x:row r="38" ht="22" customHeight="1">
      <x:c r="A38" s="38" t="str">
        <x:v>Progression SHA-256</x:v>
      </x:c>
      <x:c r="B38" s="2" t="str">
        <x:v>51c6a44874084a0a9b3205091c1736cd64e84de37abcf91cfebf74415596f489</x:v>
      </x:c>
      <x:c r="C38" s="2"/>
      <x:c r="D38" s="2"/>
      <x:c r="E38" s="2"/>
      <x:c r="F38" s="2"/>
      <x:c r="G38" s="2"/>
      <x:c r="H38" s="2"/>
      <x:c r="I38" s="2"/>
      <x:c r="J38" s="2"/>
      <x:c r="K38" s="2"/>
    </x:row>
    <x:row r="39" ht="22" customHeight="1">
      <x:c r="A39" s="2"/>
      <x:c r="B39" s="2"/>
      <x:c r="C39" s="2"/>
      <x:c r="D39" s="2"/>
      <x:c r="E39" s="2"/>
      <x:c r="F39" s="2"/>
      <x:c r="G39" s="2"/>
      <x:c r="H39" s="2"/>
      <x:c r="I39" s="2"/>
      <x:c r="J39" s="2"/>
      <x:c r="K39" s="2"/>
    </x:row>
    <x:row r="40" ht="22" customHeight="1">
      <x:c r="A40" s="2"/>
      <x:c r="B40" s="2"/>
      <x:c r="C40" s="2"/>
      <x:c r="D40" s="2"/>
      <x:c r="E40" s="2"/>
      <x:c r="F40" s="2"/>
      <x:c r="G40" s="2"/>
      <x:c r="H40" s="2"/>
      <x:c r="I40" s="2"/>
      <x:c r="J40" s="2"/>
      <x:c r="K40" s="2"/>
    </x:row>
    <x:row r="41" ht="22" customHeight="1">
      <x:c r="A41" s="2" t="str">
        <x:v>Blank numeric cells mean unknown or unrecorded. A typed 0 is a recorded zero.</x:v>
      </x:c>
      <x:c r="B41" s="2"/>
      <x:c r="C41" s="2"/>
      <x:c r="D41" s="2"/>
      <x:c r="E41" s="2"/>
      <x:c r="F41" s="2"/>
      <x:c r="G41" s="2"/>
      <x:c r="H41" s="2"/>
      <x:c r="I41" s="2"/>
      <x:c r="J41" s="2"/>
      <x:c r="K41" s="2"/>
    </x:row>
    <x:row r="42" ht="22" customHeight="1">
      <x:c r="A42" s="2" t="str">
        <x:v>No manuscript-confirmed state, audio review, public listener availability, or Pocket FM write is represented here.</x:v>
      </x:c>
      <x:c r="B42" s="2"/>
      <x:c r="C42" s="2"/>
      <x:c r="D42" s="2"/>
      <x:c r="E42" s="2"/>
      <x:c r="F42" s="2"/>
      <x:c r="G42" s="2"/>
      <x:c r="H42" s="2"/>
      <x:c r="I42" s="2"/>
      <x:c r="J42" s="2"/>
      <x:c r="K42" s="2"/>
    </x:row>
    <x:row r="43" ht="22" customHeight="1">
      <x:c r="A43" s="2"/>
      <x:c r="B43" s="2"/>
      <x:c r="C43" s="2"/>
      <x:c r="D43" s="2"/>
      <x:c r="E43" s="2"/>
      <x:c r="F43" s="2"/>
      <x:c r="G43" s="2"/>
      <x:c r="H43" s="2"/>
      <x:c r="I43" s="2"/>
      <x:c r="J43" s="2"/>
      <x:c r="K43" s="2"/>
    </x:row>
    <x:row r="44" ht="22" customHeight="1">
      <x:c r="A44" s="2"/>
      <x:c r="B44" s="2"/>
      <x:c r="C44" s="2"/>
      <x:c r="D44" s="2"/>
      <x:c r="E44" s="2"/>
      <x:c r="F44" s="2"/>
      <x:c r="G44" s="2"/>
      <x:c r="H44" s="2"/>
      <x:c r="I44" s="2"/>
      <x:c r="J44" s="2"/>
      <x:c r="K44" s="2"/>
    </x:row>
    <x:row r="45" ht="22" customHeight="1">
      <x:c r="A45" s="2"/>
      <x:c r="B45" s="2"/>
      <x:c r="C45" s="2"/>
      <x:c r="D45" s="2"/>
      <x:c r="E45" s="2"/>
      <x:c r="F45" s="2"/>
      <x:c r="G45" s="2"/>
      <x:c r="H45" s="2"/>
      <x:c r="I45" s="2"/>
      <x:c r="J45" s="2"/>
      <x:c r="K45" s="2"/>
    </x:row>
  </x:sheetData>
  <x:mergeCells>
    <x:mergeCell ref="B27:J27"/>
    <x:mergeCell ref="B28:J28"/>
    <x:mergeCell ref="B29:J29"/>
    <x:mergeCell ref="B30:J30"/>
    <x:mergeCell ref="B31:J31"/>
    <x:mergeCell ref="B32:J32"/>
    <x:mergeCell ref="B33:J33"/>
    <x:mergeCell ref="B34:J34"/>
    <x:mergeCell ref="B35:J35"/>
    <x:mergeCell ref="B36:J36"/>
    <x:mergeCell ref="B37:J37"/>
    <x:mergeCell ref="B38:J38"/>
  </x:mergeCells>
  <x:pageMargins left="0.7" right="0.7" top="0.75" bottom="0.75" header="0.3" footer="0.3"/>
  <x:tableParts count="1">
    <x:tablePart xmlns:r="http://schemas.openxmlformats.org/officeDocument/2006/relationships" r:id="Rdc5e9584ed554c91"/>
  </x:tableParts>
</x:worksheet>
</file>